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SynologyDrive/Thesis/"/>
    </mc:Choice>
  </mc:AlternateContent>
  <xr:revisionPtr revIDLastSave="0" documentId="13_ncr:1_{9E620B3C-6C16-7347-9F00-898093E838D6}" xr6:coauthVersionLast="47" xr6:coauthVersionMax="47" xr10:uidLastSave="{00000000-0000-0000-0000-000000000000}"/>
  <bookViews>
    <workbookView xWindow="0" yWindow="660" windowWidth="34560" windowHeight="20360" activeTab="1" xr2:uid="{BE3AB381-0B19-46FD-A5EA-8154F9CA2F29}"/>
  </bookViews>
  <sheets>
    <sheet name="Sans formule" sheetId="2" r:id="rId1"/>
    <sheet name="Sheet1" sheetId="3" r:id="rId2"/>
    <sheet name="avec formu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5" i="1" a="1"/>
  <c r="K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5" i="1" a="1"/>
  <c r="I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5" i="1" a="1"/>
  <c r="J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5" i="1" a="1"/>
  <c r="G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5" i="1" a="1"/>
  <c r="F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5" i="1" a="1"/>
  <c r="H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<sst xmlns="http://schemas.openxmlformats.org/spreadsheetml/2006/main" count="231" uniqueCount="103">
  <si>
    <t>name</t>
  </si>
  <si>
    <t>ISIN</t>
  </si>
  <si>
    <t>Scope 1</t>
  </si>
  <si>
    <t>Scope 3</t>
  </si>
  <si>
    <t>Sector</t>
  </si>
  <si>
    <t>Exxon Mobil</t>
  </si>
  <si>
    <t>Énergie (Oil &amp; Gas)</t>
  </si>
  <si>
    <t>US30231G1022</t>
  </si>
  <si>
    <t>Shell</t>
  </si>
  <si>
    <t>GB00BP6MXD84</t>
  </si>
  <si>
    <t>BP</t>
  </si>
  <si>
    <t>GB0007980591</t>
  </si>
  <si>
    <t>Rio Tinto</t>
  </si>
  <si>
    <t>Mines &amp; Métaux</t>
  </si>
  <si>
    <t>GB0007188757</t>
  </si>
  <si>
    <t>Holcim</t>
  </si>
  <si>
    <t>Matériaux</t>
  </si>
  <si>
    <t>CH0012214059</t>
  </si>
  <si>
    <t>ArcelorMittal</t>
  </si>
  <si>
    <t>Sidérurgie</t>
  </si>
  <si>
    <t>LU1598757687</t>
  </si>
  <si>
    <t>Siemens</t>
  </si>
  <si>
    <t>Industrie</t>
  </si>
  <si>
    <t>DE0007236101</t>
  </si>
  <si>
    <t>Toyota Motor</t>
  </si>
  <si>
    <t>Automobile</t>
  </si>
  <si>
    <t>JP3633400001</t>
  </si>
  <si>
    <t>Volkswagen</t>
  </si>
  <si>
    <t>DE0007664039</t>
  </si>
  <si>
    <t>Tesla</t>
  </si>
  <si>
    <t>Automobile / EV</t>
  </si>
  <si>
    <t>US88160R1014</t>
  </si>
  <si>
    <t>Apple</t>
  </si>
  <si>
    <t>Technologie</t>
  </si>
  <si>
    <t>US0378331005</t>
  </si>
  <si>
    <t>Microsoft</t>
  </si>
  <si>
    <t>US5949181045</t>
  </si>
  <si>
    <t>NVIDIA</t>
  </si>
  <si>
    <t>Semi-conducteurs</t>
  </si>
  <si>
    <t>US67066G1040</t>
  </si>
  <si>
    <t>TSMC</t>
  </si>
  <si>
    <t>US8740391003</t>
  </si>
  <si>
    <t>BASF</t>
  </si>
  <si>
    <t>Chimie</t>
  </si>
  <si>
    <t>DE000BASF111</t>
  </si>
  <si>
    <t>Linde</t>
  </si>
  <si>
    <t>Gaz industriels</t>
  </si>
  <si>
    <t>IE000S9YS762</t>
  </si>
  <si>
    <t>Novartis</t>
  </si>
  <si>
    <t>Pharmaceutique</t>
  </si>
  <si>
    <t>CH0012005267</t>
  </si>
  <si>
    <t>Roche</t>
  </si>
  <si>
    <t>CH0012032048</t>
  </si>
  <si>
    <t>Pfizer</t>
  </si>
  <si>
    <t>US7170811035</t>
  </si>
  <si>
    <t>Nestlé</t>
  </si>
  <si>
    <t>Agro-alimentaire</t>
  </si>
  <si>
    <t>CH0038863350</t>
  </si>
  <si>
    <t>Unilever</t>
  </si>
  <si>
    <t>Biens de consommation</t>
  </si>
  <si>
    <t>GB00B10RZP78</t>
  </si>
  <si>
    <t>Procter &amp; Gamble</t>
  </si>
  <si>
    <t>US7427181091</t>
  </si>
  <si>
    <t>JPMorgan Chase</t>
  </si>
  <si>
    <t>Banque</t>
  </si>
  <si>
    <t>US46625H1005</t>
  </si>
  <si>
    <t>HSBC</t>
  </si>
  <si>
    <t>GB0005405286</t>
  </si>
  <si>
    <t>UBS</t>
  </si>
  <si>
    <t>CH0244767585</t>
  </si>
  <si>
    <t>Verizon</t>
  </si>
  <si>
    <t>Télécommunications</t>
  </si>
  <si>
    <t>US92343V1044</t>
  </si>
  <si>
    <t>Deutsche Telekom</t>
  </si>
  <si>
    <t>DE0005557508</t>
  </si>
  <si>
    <t>Enel</t>
  </si>
  <si>
    <t>Utilities</t>
  </si>
  <si>
    <t>IT0003128367</t>
  </si>
  <si>
    <t>Iberdrola</t>
  </si>
  <si>
    <t>ES0144580Y14</t>
  </si>
  <si>
    <t>Maersk</t>
  </si>
  <si>
    <t>Logistique / Shipping</t>
  </si>
  <si>
    <t>DK0010244425</t>
  </si>
  <si>
    <t>Scope 2 (in thousand metric ton of CO2-equivalent)</t>
  </si>
  <si>
    <t>Total energy consumption (in thousand of Megawatt/hour MWh)</t>
  </si>
  <si>
    <t>ES076</t>
  </si>
  <si>
    <t>ES078</t>
  </si>
  <si>
    <t>EG003</t>
  </si>
  <si>
    <t>EG002</t>
  </si>
  <si>
    <t>EG001</t>
  </si>
  <si>
    <t>IS010</t>
  </si>
  <si>
    <t>ES014</t>
  </si>
  <si>
    <t>Revenue (in million) in USD</t>
  </si>
  <si>
    <t>monnaie</t>
  </si>
  <si>
    <t>Année</t>
  </si>
  <si>
    <t>USD</t>
  </si>
  <si>
    <t>SR001</t>
  </si>
  <si>
    <t>Bloomberg ESG Score (2023)</t>
  </si>
  <si>
    <t>#N/A N/A</t>
  </si>
  <si>
    <t>Scope 2</t>
  </si>
  <si>
    <t>Revenue</t>
  </si>
  <si>
    <t>Total energy consumption</t>
  </si>
  <si>
    <t>Bloomberg ESG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</si>
</sst>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 Arial"/>
      <family val="2"/>
    </font>
    <font>
      <sz val="10"/>
      <name val=" 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F206-418B-41C6-8B53-58A8B577EBC7}">
  <dimension ref="A1:J34"/>
  <sheetViews>
    <sheetView workbookViewId="0">
      <selection activeCell="B4" sqref="B4:J4"/>
    </sheetView>
  </sheetViews>
  <sheetFormatPr baseColWidth="10" defaultColWidth="8.83203125" defaultRowHeight="13"/>
  <cols>
    <col min="1" max="1" width="8" bestFit="1" customWidth="1"/>
    <col min="2" max="2" width="16.5" bestFit="1" customWidth="1"/>
    <col min="3" max="3" width="21.5" bestFit="1" customWidth="1"/>
    <col min="4" max="4" width="15.33203125" bestFit="1" customWidth="1"/>
    <col min="5" max="5" width="12" bestFit="1" customWidth="1"/>
    <col min="6" max="6" width="44.1640625" bestFit="1" customWidth="1"/>
    <col min="7" max="7" width="23.83203125" bestFit="1" customWidth="1"/>
    <col min="8" max="8" width="54.83203125" bestFit="1" customWidth="1"/>
    <col min="9" max="9" width="12" bestFit="1" customWidth="1"/>
    <col min="10" max="10" width="26.1640625" bestFit="1" customWidth="1"/>
  </cols>
  <sheetData>
    <row r="1" spans="1:10">
      <c r="A1" t="s">
        <v>93</v>
      </c>
      <c r="B1" t="s">
        <v>95</v>
      </c>
    </row>
    <row r="2" spans="1:10">
      <c r="A2" t="s">
        <v>94</v>
      </c>
      <c r="B2">
        <v>2024</v>
      </c>
      <c r="E2" t="s">
        <v>89</v>
      </c>
      <c r="I2" t="s">
        <v>87</v>
      </c>
      <c r="J2">
        <v>2023</v>
      </c>
    </row>
    <row r="3" spans="1:10">
      <c r="E3" t="s">
        <v>85</v>
      </c>
      <c r="F3" t="s">
        <v>88</v>
      </c>
      <c r="G3" t="s">
        <v>90</v>
      </c>
      <c r="H3" t="s">
        <v>91</v>
      </c>
      <c r="I3" t="s">
        <v>86</v>
      </c>
      <c r="J3" t="s">
        <v>96</v>
      </c>
    </row>
    <row r="4" spans="1:10">
      <c r="B4" t="s">
        <v>0</v>
      </c>
      <c r="C4" t="s">
        <v>4</v>
      </c>
      <c r="D4" t="s">
        <v>1</v>
      </c>
      <c r="E4" t="s">
        <v>2</v>
      </c>
      <c r="F4" t="s">
        <v>83</v>
      </c>
      <c r="G4" t="s">
        <v>92</v>
      </c>
      <c r="H4" t="s">
        <v>84</v>
      </c>
      <c r="I4" t="s">
        <v>3</v>
      </c>
      <c r="J4" t="s">
        <v>97</v>
      </c>
    </row>
    <row r="5" spans="1:10">
      <c r="B5" t="s">
        <v>5</v>
      </c>
      <c r="C5" t="s">
        <v>6</v>
      </c>
      <c r="D5" t="s">
        <v>7</v>
      </c>
      <c r="E5">
        <v>91000</v>
      </c>
      <c r="F5">
        <v>6955.9769999999999</v>
      </c>
      <c r="G5">
        <v>339247</v>
      </c>
      <c r="H5">
        <v>388889</v>
      </c>
      <c r="I5">
        <v>730000</v>
      </c>
      <c r="J5">
        <v>5.440000057220459</v>
      </c>
    </row>
    <row r="6" spans="1:10">
      <c r="B6" t="s">
        <v>8</v>
      </c>
      <c r="C6" t="s">
        <v>6</v>
      </c>
      <c r="D6" t="s">
        <v>9</v>
      </c>
      <c r="E6">
        <v>50000</v>
      </c>
      <c r="F6">
        <v>7835.116</v>
      </c>
      <c r="G6">
        <v>284312</v>
      </c>
      <c r="H6">
        <v>212000</v>
      </c>
      <c r="I6">
        <v>1084000</v>
      </c>
      <c r="J6">
        <v>6.619999885559082</v>
      </c>
    </row>
    <row r="7" spans="1:10">
      <c r="B7" t="s">
        <v>10</v>
      </c>
      <c r="C7" t="s">
        <v>6</v>
      </c>
      <c r="D7" t="s">
        <v>11</v>
      </c>
      <c r="E7">
        <v>32800</v>
      </c>
      <c r="F7">
        <v>1918.6610000000001</v>
      </c>
      <c r="G7">
        <v>189185</v>
      </c>
      <c r="H7">
        <v>130200</v>
      </c>
      <c r="I7">
        <v>321900</v>
      </c>
      <c r="J7">
        <v>6.4699997901916504</v>
      </c>
    </row>
    <row r="8" spans="1:10">
      <c r="B8" t="s">
        <v>12</v>
      </c>
      <c r="C8" t="s">
        <v>13</v>
      </c>
      <c r="D8" t="s">
        <v>14</v>
      </c>
      <c r="E8">
        <v>23000</v>
      </c>
      <c r="F8">
        <v>7874.43</v>
      </c>
      <c r="G8">
        <v>53658</v>
      </c>
      <c r="H8">
        <v>136111</v>
      </c>
      <c r="I8">
        <v>574600</v>
      </c>
      <c r="J8">
        <v>6.25</v>
      </c>
    </row>
    <row r="9" spans="1:10">
      <c r="B9" t="s">
        <v>15</v>
      </c>
      <c r="C9" t="s">
        <v>16</v>
      </c>
      <c r="D9" t="s">
        <v>17</v>
      </c>
      <c r="E9">
        <v>71000</v>
      </c>
      <c r="F9">
        <v>5148.7539999999999</v>
      </c>
      <c r="G9">
        <v>29994.416244061304</v>
      </c>
      <c r="H9">
        <v>116389</v>
      </c>
      <c r="I9">
        <v>41600</v>
      </c>
      <c r="J9">
        <v>5.8299999237060547</v>
      </c>
    </row>
    <row r="10" spans="1:10">
      <c r="B10" t="s">
        <v>18</v>
      </c>
      <c r="C10" t="s">
        <v>19</v>
      </c>
      <c r="D10" t="s">
        <v>20</v>
      </c>
      <c r="E10">
        <v>97000</v>
      </c>
      <c r="F10">
        <v>8746.7569999999996</v>
      </c>
      <c r="G10">
        <v>62441</v>
      </c>
      <c r="H10" t="s">
        <v>98</v>
      </c>
      <c r="I10">
        <v>8400</v>
      </c>
      <c r="J10">
        <v>4.8000001907348633</v>
      </c>
    </row>
    <row r="11" spans="1:10">
      <c r="B11" t="s">
        <v>21</v>
      </c>
      <c r="C11" t="s">
        <v>22</v>
      </c>
      <c r="D11" t="s">
        <v>23</v>
      </c>
      <c r="E11">
        <v>347</v>
      </c>
      <c r="F11">
        <v>648.17200000000003</v>
      </c>
      <c r="G11">
        <v>82328.00781923077</v>
      </c>
      <c r="H11">
        <v>2503.330078125</v>
      </c>
      <c r="I11">
        <v>416758</v>
      </c>
      <c r="J11">
        <v>6.5500001907348633</v>
      </c>
    </row>
    <row r="12" spans="1:10">
      <c r="B12" t="s">
        <v>24</v>
      </c>
      <c r="C12" t="s">
        <v>25</v>
      </c>
      <c r="D12" t="s">
        <v>26</v>
      </c>
      <c r="E12">
        <v>2563.9110000000001</v>
      </c>
      <c r="F12">
        <v>3295.8130000000001</v>
      </c>
      <c r="G12">
        <v>312319.25181689195</v>
      </c>
      <c r="H12">
        <v>20527.80078125</v>
      </c>
      <c r="I12">
        <v>594840</v>
      </c>
      <c r="J12">
        <v>5.9600000381469727</v>
      </c>
    </row>
    <row r="13" spans="1:10">
      <c r="B13" t="s">
        <v>27</v>
      </c>
      <c r="C13" t="s">
        <v>25</v>
      </c>
      <c r="D13" t="s">
        <v>28</v>
      </c>
      <c r="E13">
        <v>3000</v>
      </c>
      <c r="F13">
        <v>4395.3670000000002</v>
      </c>
      <c r="G13">
        <v>351206.89011494245</v>
      </c>
      <c r="H13">
        <v>19000</v>
      </c>
      <c r="I13">
        <v>408581</v>
      </c>
      <c r="J13">
        <v>4.940000057220459</v>
      </c>
    </row>
    <row r="14" spans="1:10">
      <c r="B14" t="s">
        <v>29</v>
      </c>
      <c r="C14" t="s">
        <v>30</v>
      </c>
      <c r="D14" t="s">
        <v>31</v>
      </c>
      <c r="E14">
        <v>185.41399999999999</v>
      </c>
      <c r="F14">
        <v>558.41300000000001</v>
      </c>
      <c r="G14">
        <v>97690</v>
      </c>
      <c r="H14">
        <v>3832.27001953125</v>
      </c>
      <c r="I14">
        <v>62644.167000000001</v>
      </c>
      <c r="J14">
        <v>5.0900001525878906</v>
      </c>
    </row>
    <row r="15" spans="1:10">
      <c r="B15" t="s">
        <v>32</v>
      </c>
      <c r="C15" t="s">
        <v>33</v>
      </c>
      <c r="D15" t="s">
        <v>34</v>
      </c>
      <c r="E15">
        <v>65.623999999999995</v>
      </c>
      <c r="F15">
        <v>1795.8140000000001</v>
      </c>
      <c r="G15">
        <v>391035</v>
      </c>
      <c r="H15">
        <v>4386.89990234375</v>
      </c>
      <c r="I15">
        <v>33479.478000000003</v>
      </c>
      <c r="J15">
        <v>5.6599998474121094</v>
      </c>
    </row>
    <row r="16" spans="1:10">
      <c r="B16" t="s">
        <v>35</v>
      </c>
      <c r="C16" t="s">
        <v>33</v>
      </c>
      <c r="D16" t="s">
        <v>36</v>
      </c>
      <c r="E16">
        <v>162.35300000000001</v>
      </c>
      <c r="F16">
        <v>9923.0550000000003</v>
      </c>
      <c r="G16">
        <v>245122</v>
      </c>
      <c r="H16">
        <v>30251.599609375</v>
      </c>
      <c r="I16">
        <v>31204.987000000001</v>
      </c>
      <c r="J16">
        <v>5.119999885559082</v>
      </c>
    </row>
    <row r="17" spans="2:10">
      <c r="B17" t="s">
        <v>37</v>
      </c>
      <c r="C17" t="s">
        <v>38</v>
      </c>
      <c r="D17" t="s">
        <v>39</v>
      </c>
      <c r="E17">
        <v>14.390000343322754</v>
      </c>
      <c r="F17">
        <v>253.262</v>
      </c>
      <c r="G17">
        <v>60922</v>
      </c>
      <c r="H17">
        <v>612.00799560546875</v>
      </c>
      <c r="I17">
        <v>3637.47998046875</v>
      </c>
      <c r="J17">
        <v>6.6599998474121094</v>
      </c>
    </row>
    <row r="18" spans="2:10">
      <c r="B18" t="s">
        <v>40</v>
      </c>
      <c r="C18" t="s">
        <v>38</v>
      </c>
      <c r="D18" t="s">
        <v>41</v>
      </c>
      <c r="E18">
        <v>1825.8699951171875</v>
      </c>
      <c r="F18">
        <v>9313.0560000000005</v>
      </c>
      <c r="G18">
        <v>90105.788937853576</v>
      </c>
      <c r="H18">
        <v>27470</v>
      </c>
      <c r="I18">
        <v>8223.169921875</v>
      </c>
      <c r="J18">
        <v>5.4800000190734863</v>
      </c>
    </row>
    <row r="19" spans="2:10">
      <c r="B19" t="s">
        <v>42</v>
      </c>
      <c r="C19" t="s">
        <v>43</v>
      </c>
      <c r="D19" t="s">
        <v>44</v>
      </c>
      <c r="E19">
        <v>15552</v>
      </c>
      <c r="F19">
        <v>3527.268</v>
      </c>
      <c r="G19">
        <v>70597.067816091934</v>
      </c>
      <c r="H19">
        <v>75600</v>
      </c>
      <c r="I19">
        <v>91650</v>
      </c>
      <c r="J19">
        <v>4.7399997711181641</v>
      </c>
    </row>
    <row r="20" spans="2:10">
      <c r="B20" t="s">
        <v>45</v>
      </c>
      <c r="C20" t="s">
        <v>46</v>
      </c>
      <c r="D20" t="s">
        <v>47</v>
      </c>
      <c r="E20">
        <v>16470</v>
      </c>
      <c r="F20">
        <v>18666.580999999998</v>
      </c>
      <c r="G20">
        <v>33005</v>
      </c>
      <c r="H20">
        <v>72679</v>
      </c>
      <c r="I20">
        <v>24366.5</v>
      </c>
      <c r="J20">
        <v>5.8400001525878906</v>
      </c>
    </row>
    <row r="21" spans="2:10">
      <c r="B21" t="s">
        <v>48</v>
      </c>
      <c r="C21" t="s">
        <v>49</v>
      </c>
      <c r="D21" t="s">
        <v>50</v>
      </c>
      <c r="E21">
        <v>240.751</v>
      </c>
      <c r="F21">
        <v>199.446</v>
      </c>
      <c r="G21">
        <v>51722</v>
      </c>
      <c r="H21">
        <v>1611.1099853515625</v>
      </c>
      <c r="I21">
        <v>5711.2340000000004</v>
      </c>
      <c r="J21">
        <v>4.8400001525878906</v>
      </c>
    </row>
    <row r="22" spans="2:10">
      <c r="B22" t="s">
        <v>51</v>
      </c>
      <c r="C22" t="s">
        <v>49</v>
      </c>
      <c r="D22" t="s">
        <v>52</v>
      </c>
      <c r="E22">
        <v>245.83200073242188</v>
      </c>
      <c r="F22">
        <v>343.83499999999998</v>
      </c>
      <c r="G22">
        <v>68713.303695402297</v>
      </c>
      <c r="H22">
        <v>2358.889892578125</v>
      </c>
      <c r="I22">
        <v>5382.43017578125</v>
      </c>
      <c r="J22">
        <v>4.4600000381469727</v>
      </c>
    </row>
    <row r="23" spans="2:10">
      <c r="B23" t="s">
        <v>53</v>
      </c>
      <c r="C23" t="s">
        <v>49</v>
      </c>
      <c r="D23" t="s">
        <v>54</v>
      </c>
      <c r="E23">
        <v>613.218017578125</v>
      </c>
      <c r="F23">
        <v>510.38499999999999</v>
      </c>
      <c r="G23">
        <v>63627</v>
      </c>
      <c r="H23">
        <v>4437.91015625</v>
      </c>
      <c r="I23">
        <v>3555.2099609375</v>
      </c>
      <c r="J23">
        <v>5.1500000953674316</v>
      </c>
    </row>
    <row r="24" spans="2:10">
      <c r="B24" t="s">
        <v>55</v>
      </c>
      <c r="C24" t="s">
        <v>56</v>
      </c>
      <c r="D24" t="s">
        <v>57</v>
      </c>
      <c r="E24">
        <v>3080</v>
      </c>
      <c r="F24">
        <v>2439.0329999999999</v>
      </c>
      <c r="G24">
        <v>104180.24985440612</v>
      </c>
      <c r="H24">
        <v>21884.599609375</v>
      </c>
      <c r="I24">
        <v>71350</v>
      </c>
      <c r="J24">
        <v>5.3499999046325684</v>
      </c>
    </row>
    <row r="25" spans="2:10">
      <c r="B25" t="s">
        <v>58</v>
      </c>
      <c r="C25" t="s">
        <v>59</v>
      </c>
      <c r="D25" t="s">
        <v>60</v>
      </c>
      <c r="E25">
        <v>480</v>
      </c>
      <c r="F25">
        <v>1173.7639999999999</v>
      </c>
      <c r="G25">
        <v>65730.132356321817</v>
      </c>
      <c r="H25">
        <v>6482</v>
      </c>
      <c r="I25">
        <v>53800</v>
      </c>
      <c r="J25">
        <v>5.2600002288818359</v>
      </c>
    </row>
    <row r="26" spans="2:10">
      <c r="B26" t="s">
        <v>61</v>
      </c>
      <c r="C26" t="s">
        <v>59</v>
      </c>
      <c r="D26" t="s">
        <v>62</v>
      </c>
      <c r="E26">
        <v>2125.0720000000001</v>
      </c>
      <c r="F26">
        <v>1998.1020000000001</v>
      </c>
      <c r="G26">
        <v>84039</v>
      </c>
      <c r="H26">
        <v>16474.69921875</v>
      </c>
      <c r="I26">
        <v>185297.639</v>
      </c>
      <c r="J26">
        <v>4.679999828338623</v>
      </c>
    </row>
    <row r="27" spans="2:10">
      <c r="B27" t="s">
        <v>63</v>
      </c>
      <c r="C27" t="s">
        <v>64</v>
      </c>
      <c r="D27" t="s">
        <v>65</v>
      </c>
      <c r="E27">
        <v>100.02400207519531</v>
      </c>
      <c r="F27">
        <v>1118.181</v>
      </c>
      <c r="G27">
        <v>278906</v>
      </c>
      <c r="H27" t="s">
        <v>98</v>
      </c>
      <c r="I27">
        <v>118600</v>
      </c>
      <c r="J27">
        <v>4.4800000190734863</v>
      </c>
    </row>
    <row r="28" spans="2:10">
      <c r="B28" t="s">
        <v>66</v>
      </c>
      <c r="C28" t="s">
        <v>64</v>
      </c>
      <c r="D28" t="s">
        <v>67</v>
      </c>
      <c r="E28">
        <v>15.024999618530273</v>
      </c>
      <c r="F28">
        <v>456.15600000000001</v>
      </c>
      <c r="G28">
        <v>145717</v>
      </c>
      <c r="H28">
        <v>728.8900146484375</v>
      </c>
      <c r="I28">
        <v>1127.9100341796875</v>
      </c>
      <c r="J28">
        <v>4.0500001907348633</v>
      </c>
    </row>
    <row r="29" spans="2:10">
      <c r="B29" t="s">
        <v>68</v>
      </c>
      <c r="C29" t="s">
        <v>64</v>
      </c>
      <c r="D29" t="s">
        <v>69</v>
      </c>
      <c r="E29">
        <v>18.167999267578125</v>
      </c>
      <c r="F29">
        <v>191.14</v>
      </c>
      <c r="G29">
        <v>87152</v>
      </c>
      <c r="H29">
        <v>680</v>
      </c>
      <c r="I29">
        <v>1045.6600341796875</v>
      </c>
      <c r="J29">
        <v>4.9800000190734863</v>
      </c>
    </row>
    <row r="30" spans="2:10">
      <c r="B30" t="s">
        <v>70</v>
      </c>
      <c r="C30" t="s">
        <v>71</v>
      </c>
      <c r="D30" t="s">
        <v>72</v>
      </c>
      <c r="E30">
        <v>265.8590087890625</v>
      </c>
      <c r="F30">
        <v>3712.7489999999998</v>
      </c>
      <c r="G30">
        <v>134788</v>
      </c>
      <c r="H30">
        <v>11524.2001953125</v>
      </c>
      <c r="I30">
        <v>13743.2001953125</v>
      </c>
      <c r="J30">
        <v>5.25</v>
      </c>
    </row>
    <row r="31" spans="2:10">
      <c r="B31" t="s">
        <v>73</v>
      </c>
      <c r="C31" t="s">
        <v>71</v>
      </c>
      <c r="D31" t="s">
        <v>74</v>
      </c>
      <c r="E31">
        <v>236.35499572753906</v>
      </c>
      <c r="F31">
        <v>3991.04</v>
      </c>
      <c r="G31">
        <v>125236.77511494249</v>
      </c>
      <c r="H31">
        <v>11487.900390625</v>
      </c>
      <c r="I31">
        <v>10141.7001953125</v>
      </c>
      <c r="J31">
        <v>4.5500001907348633</v>
      </c>
    </row>
    <row r="32" spans="2:10">
      <c r="B32" t="s">
        <v>75</v>
      </c>
      <c r="C32" t="s">
        <v>76</v>
      </c>
      <c r="D32" t="s">
        <v>77</v>
      </c>
      <c r="E32">
        <v>20209.30078125</v>
      </c>
      <c r="F32">
        <v>3270.2420000000002</v>
      </c>
      <c r="G32">
        <v>79958.805862068941</v>
      </c>
      <c r="H32">
        <v>170520</v>
      </c>
      <c r="I32">
        <v>46259.1015625</v>
      </c>
      <c r="J32">
        <v>6.369999885559082</v>
      </c>
    </row>
    <row r="33" spans="2:10">
      <c r="B33" t="s">
        <v>78</v>
      </c>
      <c r="C33" t="s">
        <v>76</v>
      </c>
      <c r="D33" t="s">
        <v>79</v>
      </c>
      <c r="E33">
        <v>8913</v>
      </c>
      <c r="F33">
        <v>2521.1799999999998</v>
      </c>
      <c r="G33">
        <v>48397.827413793093</v>
      </c>
      <c r="H33">
        <v>131416</v>
      </c>
      <c r="I33">
        <v>31461</v>
      </c>
      <c r="J33">
        <v>6.3400001525878906</v>
      </c>
    </row>
    <row r="34" spans="2:10">
      <c r="B34" t="s">
        <v>80</v>
      </c>
      <c r="C34" t="s">
        <v>81</v>
      </c>
      <c r="D34" t="s">
        <v>82</v>
      </c>
      <c r="E34">
        <v>31346.703000000001</v>
      </c>
      <c r="F34">
        <v>386.858</v>
      </c>
      <c r="G34">
        <v>55482</v>
      </c>
      <c r="H34">
        <v>121008</v>
      </c>
      <c r="I34">
        <v>23270.81</v>
      </c>
      <c r="J34">
        <v>6.1399998664855957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2929-5766-A240-B9F5-6531E1BA3E9D}">
  <dimension ref="A1:I31"/>
  <sheetViews>
    <sheetView tabSelected="1" workbookViewId="0">
      <selection activeCell="I31" sqref="A1:I31"/>
    </sheetView>
  </sheetViews>
  <sheetFormatPr baseColWidth="10" defaultRowHeight="13"/>
  <sheetData>
    <row r="1" spans="1:9">
      <c r="A1" t="s">
        <v>0</v>
      </c>
      <c r="B1" t="s">
        <v>4</v>
      </c>
      <c r="C1" t="s">
        <v>1</v>
      </c>
      <c r="D1" t="s">
        <v>2</v>
      </c>
      <c r="E1" t="s">
        <v>99</v>
      </c>
      <c r="F1" t="s">
        <v>100</v>
      </c>
      <c r="G1" t="s">
        <v>101</v>
      </c>
      <c r="H1" t="s">
        <v>3</v>
      </c>
      <c r="I1" t="s">
        <v>102</v>
      </c>
    </row>
    <row r="2" spans="1:9">
      <c r="A2" t="str" cm="1">
        <f t="array" ref="A2:I31">'Sans formule'!B5:J34</f>
        <v>Exxon Mobil</v>
      </c>
      <c r="B2" t="str">
        <v>Énergie (Oil &amp; Gas)</v>
      </c>
      <c r="C2" t="str">
        <v>US30231G1022</v>
      </c>
      <c r="D2">
        <v>91000</v>
      </c>
      <c r="E2">
        <v>6955.9769999999999</v>
      </c>
      <c r="F2">
        <v>339247</v>
      </c>
      <c r="G2">
        <v>388889</v>
      </c>
      <c r="H2">
        <v>730000</v>
      </c>
      <c r="I2">
        <v>5.440000057220459</v>
      </c>
    </row>
    <row r="3" spans="1:9">
      <c r="A3" t="str">
        <v>Shell</v>
      </c>
      <c r="B3" t="str">
        <v>Énergie (Oil &amp; Gas)</v>
      </c>
      <c r="C3" t="str">
        <v>GB00BP6MXD84</v>
      </c>
      <c r="D3">
        <v>50000</v>
      </c>
      <c r="E3">
        <v>7835.116</v>
      </c>
      <c r="F3">
        <v>284312</v>
      </c>
      <c r="G3">
        <v>212000</v>
      </c>
      <c r="H3">
        <v>1084000</v>
      </c>
      <c r="I3">
        <v>6.619999885559082</v>
      </c>
    </row>
    <row r="4" spans="1:9">
      <c r="A4" t="str">
        <v>BP</v>
      </c>
      <c r="B4" t="str">
        <v>Énergie (Oil &amp; Gas)</v>
      </c>
      <c r="C4" t="str">
        <v>GB0007980591</v>
      </c>
      <c r="D4">
        <v>32800</v>
      </c>
      <c r="E4">
        <v>1918.6610000000001</v>
      </c>
      <c r="F4">
        <v>189185</v>
      </c>
      <c r="G4">
        <v>130200</v>
      </c>
      <c r="H4">
        <v>321900</v>
      </c>
      <c r="I4">
        <v>6.4699997901916504</v>
      </c>
    </row>
    <row r="5" spans="1:9">
      <c r="A5" t="str">
        <v>Rio Tinto</v>
      </c>
      <c r="B5" t="str">
        <v>Mines &amp; Métaux</v>
      </c>
      <c r="C5" t="str">
        <v>GB0007188757</v>
      </c>
      <c r="D5">
        <v>23000</v>
      </c>
      <c r="E5">
        <v>7874.43</v>
      </c>
      <c r="F5">
        <v>53658</v>
      </c>
      <c r="G5">
        <v>136111</v>
      </c>
      <c r="H5">
        <v>574600</v>
      </c>
      <c r="I5">
        <v>6.25</v>
      </c>
    </row>
    <row r="6" spans="1:9">
      <c r="A6" t="str">
        <v>Holcim</v>
      </c>
      <c r="B6" t="str">
        <v>Matériaux</v>
      </c>
      <c r="C6" t="str">
        <v>CH0012214059</v>
      </c>
      <c r="D6">
        <v>71000</v>
      </c>
      <c r="E6">
        <v>5148.7539999999999</v>
      </c>
      <c r="F6">
        <v>29994.416244061304</v>
      </c>
      <c r="G6">
        <v>116389</v>
      </c>
      <c r="H6">
        <v>41600</v>
      </c>
      <c r="I6">
        <v>5.8299999237060547</v>
      </c>
    </row>
    <row r="7" spans="1:9">
      <c r="A7" t="str">
        <v>ArcelorMittal</v>
      </c>
      <c r="B7" t="str">
        <v>Sidérurgie</v>
      </c>
      <c r="C7" t="str">
        <v>LU1598757687</v>
      </c>
      <c r="D7">
        <v>97000</v>
      </c>
      <c r="E7">
        <v>8746.7569999999996</v>
      </c>
      <c r="F7">
        <v>62441</v>
      </c>
      <c r="G7" t="str">
        <v>#N/A N/A</v>
      </c>
      <c r="H7">
        <v>8400</v>
      </c>
      <c r="I7">
        <v>4.8000001907348633</v>
      </c>
    </row>
    <row r="8" spans="1:9">
      <c r="A8" t="str">
        <v>Siemens</v>
      </c>
      <c r="B8" t="str">
        <v>Industrie</v>
      </c>
      <c r="C8" t="str">
        <v>DE0007236101</v>
      </c>
      <c r="D8">
        <v>347</v>
      </c>
      <c r="E8">
        <v>648.17200000000003</v>
      </c>
      <c r="F8">
        <v>82328.00781923077</v>
      </c>
      <c r="G8">
        <v>2503.330078125</v>
      </c>
      <c r="H8">
        <v>416758</v>
      </c>
      <c r="I8">
        <v>6.5500001907348633</v>
      </c>
    </row>
    <row r="9" spans="1:9">
      <c r="A9" t="str">
        <v>Toyota Motor</v>
      </c>
      <c r="B9" t="str">
        <v>Automobile</v>
      </c>
      <c r="C9" t="str">
        <v>JP3633400001</v>
      </c>
      <c r="D9">
        <v>2563.9110000000001</v>
      </c>
      <c r="E9">
        <v>3295.8130000000001</v>
      </c>
      <c r="F9">
        <v>312319.25181689195</v>
      </c>
      <c r="G9">
        <v>20527.80078125</v>
      </c>
      <c r="H9">
        <v>594840</v>
      </c>
      <c r="I9">
        <v>5.9600000381469727</v>
      </c>
    </row>
    <row r="10" spans="1:9">
      <c r="A10" t="str">
        <v>Volkswagen</v>
      </c>
      <c r="B10" t="str">
        <v>Automobile</v>
      </c>
      <c r="C10" t="str">
        <v>DE0007664039</v>
      </c>
      <c r="D10">
        <v>3000</v>
      </c>
      <c r="E10">
        <v>4395.3670000000002</v>
      </c>
      <c r="F10">
        <v>351206.89011494245</v>
      </c>
      <c r="G10">
        <v>19000</v>
      </c>
      <c r="H10">
        <v>408581</v>
      </c>
      <c r="I10">
        <v>4.940000057220459</v>
      </c>
    </row>
    <row r="11" spans="1:9">
      <c r="A11" t="str">
        <v>Tesla</v>
      </c>
      <c r="B11" t="str">
        <v>Automobile / EV</v>
      </c>
      <c r="C11" t="str">
        <v>US88160R1014</v>
      </c>
      <c r="D11">
        <v>185.41399999999999</v>
      </c>
      <c r="E11">
        <v>558.41300000000001</v>
      </c>
      <c r="F11">
        <v>97690</v>
      </c>
      <c r="G11">
        <v>3832.27001953125</v>
      </c>
      <c r="H11">
        <v>62644.167000000001</v>
      </c>
      <c r="I11">
        <v>5.0900001525878906</v>
      </c>
    </row>
    <row r="12" spans="1:9">
      <c r="A12" t="str">
        <v>Apple</v>
      </c>
      <c r="B12" t="str">
        <v>Technologie</v>
      </c>
      <c r="C12" t="str">
        <v>US0378331005</v>
      </c>
      <c r="D12">
        <v>65.623999999999995</v>
      </c>
      <c r="E12">
        <v>1795.8140000000001</v>
      </c>
      <c r="F12">
        <v>391035</v>
      </c>
      <c r="G12">
        <v>4386.89990234375</v>
      </c>
      <c r="H12">
        <v>33479.478000000003</v>
      </c>
      <c r="I12">
        <v>5.6599998474121094</v>
      </c>
    </row>
    <row r="13" spans="1:9">
      <c r="A13" t="str">
        <v>Microsoft</v>
      </c>
      <c r="B13" t="str">
        <v>Technologie</v>
      </c>
      <c r="C13" t="str">
        <v>US5949181045</v>
      </c>
      <c r="D13">
        <v>162.35300000000001</v>
      </c>
      <c r="E13">
        <v>9923.0550000000003</v>
      </c>
      <c r="F13">
        <v>245122</v>
      </c>
      <c r="G13">
        <v>30251.599609375</v>
      </c>
      <c r="H13">
        <v>31204.987000000001</v>
      </c>
      <c r="I13">
        <v>5.119999885559082</v>
      </c>
    </row>
    <row r="14" spans="1:9">
      <c r="A14" t="str">
        <v>NVIDIA</v>
      </c>
      <c r="B14" t="str">
        <v>Semi-conducteurs</v>
      </c>
      <c r="C14" t="str">
        <v>US67066G1040</v>
      </c>
      <c r="D14">
        <v>14.390000343322754</v>
      </c>
      <c r="E14">
        <v>253.262</v>
      </c>
      <c r="F14">
        <v>60922</v>
      </c>
      <c r="G14">
        <v>612.00799560546875</v>
      </c>
      <c r="H14">
        <v>3637.47998046875</v>
      </c>
      <c r="I14">
        <v>6.6599998474121094</v>
      </c>
    </row>
    <row r="15" spans="1:9">
      <c r="A15" t="str">
        <v>TSMC</v>
      </c>
      <c r="B15" t="str">
        <v>Semi-conducteurs</v>
      </c>
      <c r="C15" t="str">
        <v>US8740391003</v>
      </c>
      <c r="D15">
        <v>1825.8699951171875</v>
      </c>
      <c r="E15">
        <v>9313.0560000000005</v>
      </c>
      <c r="F15">
        <v>90105.788937853576</v>
      </c>
      <c r="G15">
        <v>27470</v>
      </c>
      <c r="H15">
        <v>8223.169921875</v>
      </c>
      <c r="I15">
        <v>5.4800000190734863</v>
      </c>
    </row>
    <row r="16" spans="1:9">
      <c r="A16" t="str">
        <v>BASF</v>
      </c>
      <c r="B16" t="str">
        <v>Chimie</v>
      </c>
      <c r="C16" t="str">
        <v>DE000BASF111</v>
      </c>
      <c r="D16">
        <v>15552</v>
      </c>
      <c r="E16">
        <v>3527.268</v>
      </c>
      <c r="F16">
        <v>70597.067816091934</v>
      </c>
      <c r="G16">
        <v>75600</v>
      </c>
      <c r="H16">
        <v>91650</v>
      </c>
      <c r="I16">
        <v>4.7399997711181641</v>
      </c>
    </row>
    <row r="17" spans="1:9">
      <c r="A17" t="str">
        <v>Linde</v>
      </c>
      <c r="B17" t="str">
        <v>Gaz industriels</v>
      </c>
      <c r="C17" t="str">
        <v>IE000S9YS762</v>
      </c>
      <c r="D17">
        <v>16470</v>
      </c>
      <c r="E17">
        <v>18666.580999999998</v>
      </c>
      <c r="F17">
        <v>33005</v>
      </c>
      <c r="G17">
        <v>72679</v>
      </c>
      <c r="H17">
        <v>24366.5</v>
      </c>
      <c r="I17">
        <v>5.8400001525878906</v>
      </c>
    </row>
    <row r="18" spans="1:9">
      <c r="A18" t="str">
        <v>Novartis</v>
      </c>
      <c r="B18" t="str">
        <v>Pharmaceutique</v>
      </c>
      <c r="C18" t="str">
        <v>CH0012005267</v>
      </c>
      <c r="D18">
        <v>240.751</v>
      </c>
      <c r="E18">
        <v>199.446</v>
      </c>
      <c r="F18">
        <v>51722</v>
      </c>
      <c r="G18">
        <v>1611.1099853515625</v>
      </c>
      <c r="H18">
        <v>5711.2340000000004</v>
      </c>
      <c r="I18">
        <v>4.8400001525878906</v>
      </c>
    </row>
    <row r="19" spans="1:9">
      <c r="A19" t="str">
        <v>Roche</v>
      </c>
      <c r="B19" t="str">
        <v>Pharmaceutique</v>
      </c>
      <c r="C19" t="str">
        <v>CH0012032048</v>
      </c>
      <c r="D19">
        <v>245.83200073242188</v>
      </c>
      <c r="E19">
        <v>343.83499999999998</v>
      </c>
      <c r="F19">
        <v>68713.303695402297</v>
      </c>
      <c r="G19">
        <v>2358.889892578125</v>
      </c>
      <c r="H19">
        <v>5382.43017578125</v>
      </c>
      <c r="I19">
        <v>4.4600000381469727</v>
      </c>
    </row>
    <row r="20" spans="1:9">
      <c r="A20" t="str">
        <v>Pfizer</v>
      </c>
      <c r="B20" t="str">
        <v>Pharmaceutique</v>
      </c>
      <c r="C20" t="str">
        <v>US7170811035</v>
      </c>
      <c r="D20">
        <v>613.218017578125</v>
      </c>
      <c r="E20">
        <v>510.38499999999999</v>
      </c>
      <c r="F20">
        <v>63627</v>
      </c>
      <c r="G20">
        <v>4437.91015625</v>
      </c>
      <c r="H20">
        <v>3555.2099609375</v>
      </c>
      <c r="I20">
        <v>5.1500000953674316</v>
      </c>
    </row>
    <row r="21" spans="1:9">
      <c r="A21" t="str">
        <v>Nestlé</v>
      </c>
      <c r="B21" t="str">
        <v>Agro-alimentaire</v>
      </c>
      <c r="C21" t="str">
        <v>CH0038863350</v>
      </c>
      <c r="D21">
        <v>3080</v>
      </c>
      <c r="E21">
        <v>2439.0329999999999</v>
      </c>
      <c r="F21">
        <v>104180.24985440612</v>
      </c>
      <c r="G21">
        <v>21884.599609375</v>
      </c>
      <c r="H21">
        <v>71350</v>
      </c>
      <c r="I21">
        <v>5.3499999046325684</v>
      </c>
    </row>
    <row r="22" spans="1:9">
      <c r="A22" t="str">
        <v>Unilever</v>
      </c>
      <c r="B22" t="str">
        <v>Biens de consommation</v>
      </c>
      <c r="C22" t="str">
        <v>GB00B10RZP78</v>
      </c>
      <c r="D22">
        <v>480</v>
      </c>
      <c r="E22">
        <v>1173.7639999999999</v>
      </c>
      <c r="F22">
        <v>65730.132356321817</v>
      </c>
      <c r="G22">
        <v>6482</v>
      </c>
      <c r="H22">
        <v>53800</v>
      </c>
      <c r="I22">
        <v>5.2600002288818359</v>
      </c>
    </row>
    <row r="23" spans="1:9">
      <c r="A23" t="str">
        <v>Procter &amp; Gamble</v>
      </c>
      <c r="B23" t="str">
        <v>Biens de consommation</v>
      </c>
      <c r="C23" t="str">
        <v>US7427181091</v>
      </c>
      <c r="D23">
        <v>2125.0720000000001</v>
      </c>
      <c r="E23">
        <v>1998.1020000000001</v>
      </c>
      <c r="F23">
        <v>84039</v>
      </c>
      <c r="G23">
        <v>16474.69921875</v>
      </c>
      <c r="H23">
        <v>185297.639</v>
      </c>
      <c r="I23">
        <v>4.679999828338623</v>
      </c>
    </row>
    <row r="24" spans="1:9">
      <c r="A24" t="str">
        <v>JPMorgan Chase</v>
      </c>
      <c r="B24" t="str">
        <v>Banque</v>
      </c>
      <c r="C24" t="str">
        <v>US46625H1005</v>
      </c>
      <c r="D24">
        <v>100.02400207519531</v>
      </c>
      <c r="E24">
        <v>1118.181</v>
      </c>
      <c r="F24">
        <v>278906</v>
      </c>
      <c r="G24" t="str">
        <v>#N/A N/A</v>
      </c>
      <c r="H24">
        <v>118600</v>
      </c>
      <c r="I24">
        <v>4.4800000190734863</v>
      </c>
    </row>
    <row r="25" spans="1:9">
      <c r="A25" t="str">
        <v>HSBC</v>
      </c>
      <c r="B25" t="str">
        <v>Banque</v>
      </c>
      <c r="C25" t="str">
        <v>GB0005405286</v>
      </c>
      <c r="D25">
        <v>15.024999618530273</v>
      </c>
      <c r="E25">
        <v>456.15600000000001</v>
      </c>
      <c r="F25">
        <v>145717</v>
      </c>
      <c r="G25">
        <v>728.8900146484375</v>
      </c>
      <c r="H25">
        <v>1127.9100341796875</v>
      </c>
      <c r="I25">
        <v>4.0500001907348633</v>
      </c>
    </row>
    <row r="26" spans="1:9">
      <c r="A26" t="str">
        <v>UBS</v>
      </c>
      <c r="B26" t="str">
        <v>Banque</v>
      </c>
      <c r="C26" t="str">
        <v>CH0244767585</v>
      </c>
      <c r="D26">
        <v>18.167999267578125</v>
      </c>
      <c r="E26">
        <v>191.14</v>
      </c>
      <c r="F26">
        <v>87152</v>
      </c>
      <c r="G26">
        <v>680</v>
      </c>
      <c r="H26">
        <v>1045.6600341796875</v>
      </c>
      <c r="I26">
        <v>4.9800000190734863</v>
      </c>
    </row>
    <row r="27" spans="1:9">
      <c r="A27" t="str">
        <v>Verizon</v>
      </c>
      <c r="B27" t="str">
        <v>Télécommunications</v>
      </c>
      <c r="C27" t="str">
        <v>US92343V1044</v>
      </c>
      <c r="D27">
        <v>265.8590087890625</v>
      </c>
      <c r="E27">
        <v>3712.7489999999998</v>
      </c>
      <c r="F27">
        <v>134788</v>
      </c>
      <c r="G27">
        <v>11524.2001953125</v>
      </c>
      <c r="H27">
        <v>13743.2001953125</v>
      </c>
      <c r="I27">
        <v>5.25</v>
      </c>
    </row>
    <row r="28" spans="1:9">
      <c r="A28" t="str">
        <v>Deutsche Telekom</v>
      </c>
      <c r="B28" t="str">
        <v>Télécommunications</v>
      </c>
      <c r="C28" t="str">
        <v>DE0005557508</v>
      </c>
      <c r="D28">
        <v>236.35499572753906</v>
      </c>
      <c r="E28">
        <v>3991.04</v>
      </c>
      <c r="F28">
        <v>125236.77511494249</v>
      </c>
      <c r="G28">
        <v>11487.900390625</v>
      </c>
      <c r="H28">
        <v>10141.7001953125</v>
      </c>
      <c r="I28">
        <v>4.5500001907348633</v>
      </c>
    </row>
    <row r="29" spans="1:9">
      <c r="A29" t="str">
        <v>Enel</v>
      </c>
      <c r="B29" t="str">
        <v>Utilities</v>
      </c>
      <c r="C29" t="str">
        <v>IT0003128367</v>
      </c>
      <c r="D29">
        <v>20209.30078125</v>
      </c>
      <c r="E29">
        <v>3270.2420000000002</v>
      </c>
      <c r="F29">
        <v>79958.805862068941</v>
      </c>
      <c r="G29">
        <v>170520</v>
      </c>
      <c r="H29">
        <v>46259.1015625</v>
      </c>
      <c r="I29">
        <v>6.369999885559082</v>
      </c>
    </row>
    <row r="30" spans="1:9">
      <c r="A30" t="str">
        <v>Iberdrola</v>
      </c>
      <c r="B30" t="str">
        <v>Utilities</v>
      </c>
      <c r="C30" t="str">
        <v>ES0144580Y14</v>
      </c>
      <c r="D30">
        <v>8913</v>
      </c>
      <c r="E30">
        <v>2521.1799999999998</v>
      </c>
      <c r="F30">
        <v>48397.827413793093</v>
      </c>
      <c r="G30">
        <v>131416</v>
      </c>
      <c r="H30">
        <v>31461</v>
      </c>
      <c r="I30">
        <v>6.3400001525878906</v>
      </c>
    </row>
    <row r="31" spans="1:9">
      <c r="A31" t="str">
        <v>Maersk</v>
      </c>
      <c r="B31" t="str">
        <v>Logistique / Shipping</v>
      </c>
      <c r="C31" t="str">
        <v>DK0010244425</v>
      </c>
      <c r="D31">
        <v>31346.703000000001</v>
      </c>
      <c r="E31">
        <v>386.858</v>
      </c>
      <c r="F31">
        <v>55482</v>
      </c>
      <c r="G31">
        <v>121008</v>
      </c>
      <c r="H31">
        <v>23270.81</v>
      </c>
      <c r="I31">
        <v>6.1399998664855957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863C-3E49-48BF-9EDD-6F8A4D237D04}">
  <dimension ref="B1:K34"/>
  <sheetViews>
    <sheetView topLeftCell="B1" workbookViewId="0">
      <selection activeCell="D36" sqref="D36"/>
    </sheetView>
  </sheetViews>
  <sheetFormatPr baseColWidth="10" defaultColWidth="8.83203125" defaultRowHeight="13"/>
  <cols>
    <col min="3" max="3" width="16" bestFit="1" customWidth="1"/>
    <col min="4" max="4" width="20.5" bestFit="1" customWidth="1"/>
    <col min="5" max="5" width="15.1640625" bestFit="1" customWidth="1"/>
    <col min="6" max="6" width="24.5" bestFit="1" customWidth="1"/>
    <col min="7" max="7" width="15.6640625" customWidth="1"/>
    <col min="8" max="8" width="16.6640625" customWidth="1"/>
    <col min="9" max="9" width="54.83203125" bestFit="1" customWidth="1"/>
    <col min="10" max="11" width="16.6640625" customWidth="1"/>
    <col min="13" max="13" width="10.5" customWidth="1"/>
  </cols>
  <sheetData>
    <row r="1" spans="2:11">
      <c r="B1" t="s">
        <v>93</v>
      </c>
      <c r="C1" t="s">
        <v>95</v>
      </c>
    </row>
    <row r="2" spans="2:11">
      <c r="B2" t="s">
        <v>94</v>
      </c>
      <c r="C2" s="2">
        <v>2024</v>
      </c>
      <c r="F2" t="s">
        <v>89</v>
      </c>
      <c r="J2" t="s">
        <v>87</v>
      </c>
      <c r="K2">
        <v>2023</v>
      </c>
    </row>
    <row r="3" spans="2:11">
      <c r="F3" t="s">
        <v>85</v>
      </c>
      <c r="G3" t="s">
        <v>88</v>
      </c>
      <c r="H3" t="s">
        <v>90</v>
      </c>
      <c r="I3" t="s">
        <v>91</v>
      </c>
      <c r="J3" t="s">
        <v>86</v>
      </c>
      <c r="K3" t="s">
        <v>96</v>
      </c>
    </row>
    <row r="4" spans="2:11">
      <c r="C4" t="s">
        <v>0</v>
      </c>
      <c r="D4" t="s">
        <v>4</v>
      </c>
      <c r="E4" t="s">
        <v>1</v>
      </c>
      <c r="F4" t="s">
        <v>2</v>
      </c>
      <c r="G4" t="s">
        <v>83</v>
      </c>
      <c r="H4" t="s">
        <v>92</v>
      </c>
      <c r="I4" t="s">
        <v>84</v>
      </c>
      <c r="J4" t="s">
        <v>3</v>
      </c>
      <c r="K4" t="s">
        <v>97</v>
      </c>
    </row>
    <row r="5" spans="2:11" ht="14">
      <c r="C5" s="1" t="s">
        <v>5</v>
      </c>
      <c r="D5" s="1" t="s">
        <v>6</v>
      </c>
      <c r="E5" s="1" t="s">
        <v>7</v>
      </c>
      <c r="F5" t="e" cm="1">
        <f t="array" aca="1" ref="F5" ca="1">IF(_xll.BDP($E5&amp;" isin",F$3)="#N/A N/A", _xll.BDP($E5&amp;" isin",F$2,"EQY_FUND_YEAR="&amp;$C$2), _xll.BDP($E5&amp;" isin",F$3,"EQY_FUND_YEAR="&amp;$C$2))</f>
        <v>#NAME?</v>
      </c>
      <c r="G5" t="e" cm="1">
        <f t="array" aca="1" ref="G5" ca="1">_xll.BDP($E5&amp;" isin",G$3,"EQY_FUND_YEAR="&amp;$C$2)</f>
        <v>#NAME?</v>
      </c>
      <c r="H5" t="e" cm="1">
        <f t="array" aca="1" ref="H5" ca="1">_xll.BDP($E5&amp;" isin",H$3,"EQY_FUND_CRNCY="&amp;$C$1, "EQY_FUND_YEAR="&amp;$C$2)</f>
        <v>#NAME?</v>
      </c>
      <c r="I5" t="e" cm="1">
        <f t="array" aca="1" ref="I5" ca="1">_xll.BDP($E5&amp;" isin",I$3,"EQY_FUND_YEAR="&amp;$C$2)</f>
        <v>#NAME?</v>
      </c>
      <c r="J5" t="e" cm="1">
        <f t="array" aca="1" ref="J5" ca="1">IF(_xll.BDP($E5&amp;" isin",J$3)="#N/A N/A", _xll.BDP($E5&amp;" isin",J$2,"EQY_FUND_YEAR="&amp;$C$2), _xll.BDP($E5&amp;" isin",J$3,"EQY_FUND_YEAR="&amp;$C$2))</f>
        <v>#NAME?</v>
      </c>
      <c r="K5" t="e" cm="1">
        <f t="array" aca="1" ref="K5" ca="1">_xll.BDP($E5&amp;" isin",K$3,"EQY_FUND_YEAR="&amp;$K$2)</f>
        <v>#NAME?</v>
      </c>
    </row>
    <row r="6" spans="2:11" ht="14">
      <c r="C6" s="1" t="s">
        <v>8</v>
      </c>
      <c r="D6" s="1" t="s">
        <v>6</v>
      </c>
      <c r="E6" s="1" t="s">
        <v>9</v>
      </c>
      <c r="F6" t="e" cm="1">
        <f t="array" aca="1" ref="F6" ca="1">IF(_xll.BDP($E6&amp;" isin",F$3)="#N/A N/A", _xll.BDP($E6&amp;" isin",F$2,"EQY_FUND_YEAR="&amp;$C$2), _xll.BDP($E6&amp;" isin",F$3,"EQY_FUND_YEAR="&amp;$C$2))</f>
        <v>#NAME?</v>
      </c>
      <c r="G6" t="e" cm="1">
        <f t="array" aca="1" ref="G6" ca="1">_xll.BDP($E6&amp;" isin",G$3,"EQY_FUND_YEAR="&amp;$C$2)</f>
        <v>#NAME?</v>
      </c>
      <c r="H6" t="e" cm="1">
        <f t="array" aca="1" ref="H6" ca="1">_xll.BDP($E6&amp;" isin",H$3,"EQY_FUND_CRNCY="&amp;$C$1, "EQY_FUND_YEAR="&amp;$C$2)</f>
        <v>#NAME?</v>
      </c>
      <c r="I6" t="e" cm="1">
        <f t="array" aca="1" ref="I6" ca="1">_xll.BDP($E6&amp;" isin",I$3,"EQY_FUND_YEAR="&amp;$C$2)</f>
        <v>#NAME?</v>
      </c>
      <c r="J6" t="e" cm="1">
        <f t="array" aca="1" ref="J6" ca="1">IF(_xll.BDP($E6&amp;" isin",J$3)="#N/A N/A", _xll.BDP($E6&amp;" isin",J$2,"EQY_FUND_YEAR="&amp;$C$2), _xll.BDP($E6&amp;" isin",J$3,"EQY_FUND_YEAR="&amp;$C$2))</f>
        <v>#NAME?</v>
      </c>
      <c r="K6" t="e" cm="1">
        <f t="array" aca="1" ref="K6" ca="1">_xll.BDP($E6&amp;" isin",K$3,"EQY_FUND_YEAR="&amp;$K$2)</f>
        <v>#NAME?</v>
      </c>
    </row>
    <row r="7" spans="2:11" ht="14">
      <c r="C7" s="1" t="s">
        <v>10</v>
      </c>
      <c r="D7" s="1" t="s">
        <v>6</v>
      </c>
      <c r="E7" s="1" t="s">
        <v>11</v>
      </c>
      <c r="F7" t="e" cm="1">
        <f t="array" aca="1" ref="F7" ca="1">IF(_xll.BDP($E7&amp;" isin",F$3)="#N/A N/A", _xll.BDP($E7&amp;" isin",F$2,"EQY_FUND_YEAR="&amp;$C$2), _xll.BDP($E7&amp;" isin",F$3,"EQY_FUND_YEAR="&amp;$C$2))</f>
        <v>#NAME?</v>
      </c>
      <c r="G7" t="e" cm="1">
        <f t="array" aca="1" ref="G7" ca="1">_xll.BDP($E7&amp;" isin",G$3,"EQY_FUND_YEAR="&amp;$C$2)</f>
        <v>#NAME?</v>
      </c>
      <c r="H7" t="e" cm="1">
        <f t="array" aca="1" ref="H7" ca="1">_xll.BDP($E7&amp;" isin",H$3,"EQY_FUND_CRNCY="&amp;$C$1, "EQY_FUND_YEAR="&amp;$C$2)</f>
        <v>#NAME?</v>
      </c>
      <c r="I7" t="e" cm="1">
        <f t="array" aca="1" ref="I7" ca="1">_xll.BDP($E7&amp;" isin",I$3,"EQY_FUND_YEAR="&amp;$C$2)</f>
        <v>#NAME?</v>
      </c>
      <c r="J7" t="e" cm="1">
        <f t="array" aca="1" ref="J7" ca="1">IF(_xll.BDP($E7&amp;" isin",J$3)="#N/A N/A", _xll.BDP($E7&amp;" isin",J$2,"EQY_FUND_YEAR="&amp;$C$2), _xll.BDP($E7&amp;" isin",J$3,"EQY_FUND_YEAR="&amp;$C$2))</f>
        <v>#NAME?</v>
      </c>
      <c r="K7" t="e" cm="1">
        <f t="array" aca="1" ref="K7" ca="1">_xll.BDP($E7&amp;" isin",K$3,"EQY_FUND_YEAR="&amp;$K$2)</f>
        <v>#NAME?</v>
      </c>
    </row>
    <row r="8" spans="2:11" ht="14">
      <c r="C8" s="1" t="s">
        <v>12</v>
      </c>
      <c r="D8" s="1" t="s">
        <v>13</v>
      </c>
      <c r="E8" s="1" t="s">
        <v>14</v>
      </c>
      <c r="F8" t="e" cm="1">
        <f t="array" aca="1" ref="F8" ca="1">IF(_xll.BDP($E8&amp;" isin",F$3)="#N/A N/A", _xll.BDP($E8&amp;" isin",F$2,"EQY_FUND_YEAR="&amp;$C$2), _xll.BDP($E8&amp;" isin",F$3,"EQY_FUND_YEAR="&amp;$C$2))</f>
        <v>#NAME?</v>
      </c>
      <c r="G8" t="e" cm="1">
        <f t="array" aca="1" ref="G8" ca="1">_xll.BDP($E8&amp;" isin",G$3,"EQY_FUND_YEAR="&amp;$C$2)</f>
        <v>#NAME?</v>
      </c>
      <c r="H8" t="e" cm="1">
        <f t="array" aca="1" ref="H8" ca="1">_xll.BDP($E8&amp;" isin",H$3,"EQY_FUND_CRNCY="&amp;$C$1, "EQY_FUND_YEAR="&amp;$C$2)</f>
        <v>#NAME?</v>
      </c>
      <c r="I8" t="e" cm="1">
        <f t="array" aca="1" ref="I8" ca="1">_xll.BDP($E8&amp;" isin",I$3,"EQY_FUND_YEAR="&amp;$C$2)</f>
        <v>#NAME?</v>
      </c>
      <c r="J8" t="e" cm="1">
        <f t="array" aca="1" ref="J8" ca="1">IF(_xll.BDP($E8&amp;" isin",J$3)="#N/A N/A", _xll.BDP($E8&amp;" isin",J$2,"EQY_FUND_YEAR="&amp;$C$2), _xll.BDP($E8&amp;" isin",J$3,"EQY_FUND_YEAR="&amp;$C$2))</f>
        <v>#NAME?</v>
      </c>
      <c r="K8" t="e" cm="1">
        <f t="array" aca="1" ref="K8" ca="1">_xll.BDP($E8&amp;" isin",K$3,"EQY_FUND_YEAR="&amp;$K$2)</f>
        <v>#NAME?</v>
      </c>
    </row>
    <row r="9" spans="2:11" ht="14">
      <c r="C9" s="1" t="s">
        <v>15</v>
      </c>
      <c r="D9" s="1" t="s">
        <v>16</v>
      </c>
      <c r="E9" s="1" t="s">
        <v>17</v>
      </c>
      <c r="F9" t="e" cm="1">
        <f t="array" aca="1" ref="F9" ca="1">IF(_xll.BDP($E9&amp;" isin",F$3)="#N/A N/A", _xll.BDP($E9&amp;" isin",F$2,"EQY_FUND_YEAR="&amp;$C$2), _xll.BDP($E9&amp;" isin",F$3,"EQY_FUND_YEAR="&amp;$C$2))</f>
        <v>#NAME?</v>
      </c>
      <c r="G9" t="e" cm="1">
        <f t="array" aca="1" ref="G9" ca="1">_xll.BDP($E9&amp;" isin",G$3,"EQY_FUND_YEAR="&amp;$C$2)</f>
        <v>#NAME?</v>
      </c>
      <c r="H9" t="e" cm="1">
        <f t="array" aca="1" ref="H9" ca="1">_xll.BDP($E9&amp;" isin",H$3,"EQY_FUND_CRNCY="&amp;$C$1, "EQY_FUND_YEAR="&amp;$C$2)</f>
        <v>#NAME?</v>
      </c>
      <c r="I9" t="e" cm="1">
        <f t="array" aca="1" ref="I9" ca="1">_xll.BDP($E9&amp;" isin",I$3,"EQY_FUND_YEAR="&amp;$C$2)</f>
        <v>#NAME?</v>
      </c>
      <c r="J9" t="e" cm="1">
        <f t="array" aca="1" ref="J9" ca="1">IF(_xll.BDP($E9&amp;" isin",J$3)="#N/A N/A", _xll.BDP($E9&amp;" isin",J$2,"EQY_FUND_YEAR="&amp;$C$2), _xll.BDP($E9&amp;" isin",J$3,"EQY_FUND_YEAR="&amp;$C$2))</f>
        <v>#NAME?</v>
      </c>
      <c r="K9" t="e" cm="1">
        <f t="array" aca="1" ref="K9" ca="1">_xll.BDP($E9&amp;" isin",K$3,"EQY_FUND_YEAR="&amp;$K$2)</f>
        <v>#NAME?</v>
      </c>
    </row>
    <row r="10" spans="2:11" ht="14">
      <c r="C10" s="1" t="s">
        <v>18</v>
      </c>
      <c r="D10" s="1" t="s">
        <v>19</v>
      </c>
      <c r="E10" s="1" t="s">
        <v>20</v>
      </c>
      <c r="F10" t="e" cm="1">
        <f t="array" aca="1" ref="F10" ca="1">IF(_xll.BDP($E10&amp;" isin",F$3)="#N/A N/A", _xll.BDP($E10&amp;" isin",F$2,"EQY_FUND_YEAR="&amp;$C$2), _xll.BDP($E10&amp;" isin",F$3,"EQY_FUND_YEAR="&amp;$C$2))</f>
        <v>#NAME?</v>
      </c>
      <c r="G10" t="e" cm="1">
        <f t="array" aca="1" ref="G10" ca="1">_xll.BDP($E10&amp;" isin",G$3,"EQY_FUND_YEAR="&amp;$C$2)</f>
        <v>#NAME?</v>
      </c>
      <c r="H10" t="e" cm="1">
        <f t="array" aca="1" ref="H10" ca="1">_xll.BDP($E10&amp;" isin",H$3,"EQY_FUND_CRNCY="&amp;$C$1, "EQY_FUND_YEAR="&amp;$C$2)</f>
        <v>#NAME?</v>
      </c>
      <c r="I10" t="e" cm="1">
        <f t="array" aca="1" ref="I10" ca="1">_xll.BDP($E10&amp;" isin",I$3,"EQY_FUND_YEAR="&amp;$C$2)</f>
        <v>#NAME?</v>
      </c>
      <c r="J10" t="e" cm="1">
        <f t="array" aca="1" ref="J10" ca="1">IF(_xll.BDP($E10&amp;" isin",J$3)="#N/A N/A", _xll.BDP($E10&amp;" isin",J$2,"EQY_FUND_YEAR="&amp;$C$2), _xll.BDP($E10&amp;" isin",J$3,"EQY_FUND_YEAR="&amp;$C$2))</f>
        <v>#NAME?</v>
      </c>
      <c r="K10" t="e" cm="1">
        <f t="array" aca="1" ref="K10" ca="1">_xll.BDP($E10&amp;" isin",K$3,"EQY_FUND_YEAR="&amp;$K$2)</f>
        <v>#NAME?</v>
      </c>
    </row>
    <row r="11" spans="2:11" ht="14">
      <c r="C11" s="1" t="s">
        <v>21</v>
      </c>
      <c r="D11" s="1" t="s">
        <v>22</v>
      </c>
      <c r="E11" s="1" t="s">
        <v>23</v>
      </c>
      <c r="F11" t="e" cm="1">
        <f t="array" aca="1" ref="F11" ca="1">IF(_xll.BDP($E11&amp;" isin",F$3)="#N/A N/A", _xll.BDP($E11&amp;" isin",F$2,"EQY_FUND_YEAR="&amp;$C$2), _xll.BDP($E11&amp;" isin",F$3,"EQY_FUND_YEAR="&amp;$C$2))</f>
        <v>#NAME?</v>
      </c>
      <c r="G11" t="e" cm="1">
        <f t="array" aca="1" ref="G11" ca="1">_xll.BDP($E11&amp;" isin",G$3,"EQY_FUND_YEAR="&amp;$C$2)</f>
        <v>#NAME?</v>
      </c>
      <c r="H11" t="e" cm="1">
        <f t="array" aca="1" ref="H11" ca="1">_xll.BDP($E11&amp;" isin",H$3,"EQY_FUND_CRNCY="&amp;$C$1, "EQY_FUND_YEAR="&amp;$C$2)</f>
        <v>#NAME?</v>
      </c>
      <c r="I11" t="e" cm="1">
        <f t="array" aca="1" ref="I11" ca="1">_xll.BDP($E11&amp;" isin",I$3,"EQY_FUND_YEAR="&amp;$C$2)</f>
        <v>#NAME?</v>
      </c>
      <c r="J11" t="e" cm="1">
        <f t="array" aca="1" ref="J11" ca="1">IF(_xll.BDP($E11&amp;" isin",J$3)="#N/A N/A", _xll.BDP($E11&amp;" isin",J$2,"EQY_FUND_YEAR="&amp;$C$2), _xll.BDP($E11&amp;" isin",J$3,"EQY_FUND_YEAR="&amp;$C$2))</f>
        <v>#NAME?</v>
      </c>
      <c r="K11" t="e" cm="1">
        <f t="array" aca="1" ref="K11" ca="1">_xll.BDP($E11&amp;" isin",K$3,"EQY_FUND_YEAR="&amp;$K$2)</f>
        <v>#NAME?</v>
      </c>
    </row>
    <row r="12" spans="2:11" ht="14">
      <c r="C12" s="1" t="s">
        <v>24</v>
      </c>
      <c r="D12" s="1" t="s">
        <v>25</v>
      </c>
      <c r="E12" s="1" t="s">
        <v>26</v>
      </c>
      <c r="F12" t="e" cm="1">
        <f t="array" aca="1" ref="F12" ca="1">IF(_xll.BDP($E12&amp;" isin",F$3)="#N/A N/A", _xll.BDP($E12&amp;" isin",F$2,"EQY_FUND_YEAR="&amp;$C$2), _xll.BDP($E12&amp;" isin",F$3,"EQY_FUND_YEAR="&amp;$C$2))</f>
        <v>#NAME?</v>
      </c>
      <c r="G12" t="e" cm="1">
        <f t="array" aca="1" ref="G12" ca="1">_xll.BDP($E12&amp;" isin",G$3,"EQY_FUND_YEAR="&amp;$C$2)</f>
        <v>#NAME?</v>
      </c>
      <c r="H12" t="e" cm="1">
        <f t="array" aca="1" ref="H12" ca="1">_xll.BDP($E12&amp;" isin",H$3,"EQY_FUND_CRNCY="&amp;$C$1, "EQY_FUND_YEAR="&amp;$C$2)</f>
        <v>#NAME?</v>
      </c>
      <c r="I12" t="e" cm="1">
        <f t="array" aca="1" ref="I12" ca="1">_xll.BDP($E12&amp;" isin",I$3,"EQY_FUND_YEAR="&amp;$C$2)</f>
        <v>#NAME?</v>
      </c>
      <c r="J12" t="e" cm="1">
        <f t="array" aca="1" ref="J12" ca="1">IF(_xll.BDP($E12&amp;" isin",J$3)="#N/A N/A", _xll.BDP($E12&amp;" isin",J$2,"EQY_FUND_YEAR="&amp;$C$2), _xll.BDP($E12&amp;" isin",J$3,"EQY_FUND_YEAR="&amp;$C$2))</f>
        <v>#NAME?</v>
      </c>
      <c r="K12" t="e" cm="1">
        <f t="array" aca="1" ref="K12" ca="1">_xll.BDP($E12&amp;" isin",K$3,"EQY_FUND_YEAR="&amp;$K$2)</f>
        <v>#NAME?</v>
      </c>
    </row>
    <row r="13" spans="2:11" ht="14">
      <c r="C13" s="1" t="s">
        <v>27</v>
      </c>
      <c r="D13" s="1" t="s">
        <v>25</v>
      </c>
      <c r="E13" s="1" t="s">
        <v>28</v>
      </c>
      <c r="F13" t="e" cm="1">
        <f t="array" aca="1" ref="F13" ca="1">IF(_xll.BDP($E13&amp;" isin",F$3)="#N/A N/A", _xll.BDP($E13&amp;" isin",F$2,"EQY_FUND_YEAR="&amp;$C$2), _xll.BDP($E13&amp;" isin",F$3,"EQY_FUND_YEAR="&amp;$C$2))</f>
        <v>#NAME?</v>
      </c>
      <c r="G13" t="e" cm="1">
        <f t="array" aca="1" ref="G13" ca="1">_xll.BDP($E13&amp;" isin",G$3,"EQY_FUND_YEAR="&amp;$C$2)</f>
        <v>#NAME?</v>
      </c>
      <c r="H13" t="e" cm="1">
        <f t="array" aca="1" ref="H13" ca="1">_xll.BDP($E13&amp;" isin",H$3,"EQY_FUND_CRNCY="&amp;$C$1, "EQY_FUND_YEAR="&amp;$C$2)</f>
        <v>#NAME?</v>
      </c>
      <c r="I13" t="e" cm="1">
        <f t="array" aca="1" ref="I13" ca="1">_xll.BDP($E13&amp;" isin",I$3,"EQY_FUND_YEAR="&amp;$C$2)</f>
        <v>#NAME?</v>
      </c>
      <c r="J13" t="e" cm="1">
        <f t="array" aca="1" ref="J13" ca="1">IF(_xll.BDP($E13&amp;" isin",J$3)="#N/A N/A", _xll.BDP($E13&amp;" isin",J$2,"EQY_FUND_YEAR="&amp;$C$2), _xll.BDP($E13&amp;" isin",J$3,"EQY_FUND_YEAR="&amp;$C$2))</f>
        <v>#NAME?</v>
      </c>
      <c r="K13" t="e" cm="1">
        <f t="array" aca="1" ref="K13" ca="1">_xll.BDP($E13&amp;" isin",K$3,"EQY_FUND_YEAR="&amp;$K$2)</f>
        <v>#NAME?</v>
      </c>
    </row>
    <row r="14" spans="2:11" ht="14">
      <c r="C14" s="1" t="s">
        <v>29</v>
      </c>
      <c r="D14" s="1" t="s">
        <v>30</v>
      </c>
      <c r="E14" s="1" t="s">
        <v>31</v>
      </c>
      <c r="F14" t="e" cm="1">
        <f t="array" aca="1" ref="F14" ca="1">IF(_xll.BDP($E14&amp;" isin",F$3)="#N/A N/A", _xll.BDP($E14&amp;" isin",F$2,"EQY_FUND_YEAR="&amp;$C$2), _xll.BDP($E14&amp;" isin",F$3,"EQY_FUND_YEAR="&amp;$C$2))</f>
        <v>#NAME?</v>
      </c>
      <c r="G14" t="e" cm="1">
        <f t="array" aca="1" ref="G14" ca="1">_xll.BDP($E14&amp;" isin",G$3,"EQY_FUND_YEAR="&amp;$C$2)</f>
        <v>#NAME?</v>
      </c>
      <c r="H14" t="e" cm="1">
        <f t="array" aca="1" ref="H14" ca="1">_xll.BDP($E14&amp;" isin",H$3,"EQY_FUND_CRNCY="&amp;$C$1, "EQY_FUND_YEAR="&amp;$C$2)</f>
        <v>#NAME?</v>
      </c>
      <c r="I14" t="e" cm="1">
        <f t="array" aca="1" ref="I14" ca="1">_xll.BDP($E14&amp;" isin",I$3,"EQY_FUND_YEAR="&amp;$C$2)</f>
        <v>#NAME?</v>
      </c>
      <c r="J14" t="e" cm="1">
        <f t="array" aca="1" ref="J14" ca="1">IF(_xll.BDP($E14&amp;" isin",J$3)="#N/A N/A", _xll.BDP($E14&amp;" isin",J$2,"EQY_FUND_YEAR="&amp;$C$2), _xll.BDP($E14&amp;" isin",J$3,"EQY_FUND_YEAR="&amp;$C$2))</f>
        <v>#NAME?</v>
      </c>
      <c r="K14" t="e" cm="1">
        <f t="array" aca="1" ref="K14" ca="1">_xll.BDP($E14&amp;" isin",K$3,"EQY_FUND_YEAR="&amp;$K$2)</f>
        <v>#NAME?</v>
      </c>
    </row>
    <row r="15" spans="2:11" ht="14">
      <c r="C15" s="1" t="s">
        <v>32</v>
      </c>
      <c r="D15" s="1" t="s">
        <v>33</v>
      </c>
      <c r="E15" s="1" t="s">
        <v>34</v>
      </c>
      <c r="F15" t="e" cm="1">
        <f t="array" aca="1" ref="F15" ca="1">IF(_xll.BDP($E15&amp;" isin",F$3)="#N/A N/A", _xll.BDP($E15&amp;" isin",F$2,"EQY_FUND_YEAR="&amp;$C$2), _xll.BDP($E15&amp;" isin",F$3,"EQY_FUND_YEAR="&amp;$C$2))</f>
        <v>#NAME?</v>
      </c>
      <c r="G15" t="e" cm="1">
        <f t="array" aca="1" ref="G15" ca="1">_xll.BDP($E15&amp;" isin",G$3,"EQY_FUND_YEAR="&amp;$C$2)</f>
        <v>#NAME?</v>
      </c>
      <c r="H15" t="e" cm="1">
        <f t="array" aca="1" ref="H15" ca="1">_xll.BDP($E15&amp;" isin",H$3,"EQY_FUND_CRNCY="&amp;$C$1, "EQY_FUND_YEAR="&amp;$C$2)</f>
        <v>#NAME?</v>
      </c>
      <c r="I15" t="e" cm="1">
        <f t="array" aca="1" ref="I15" ca="1">_xll.BDP($E15&amp;" isin",I$3,"EQY_FUND_YEAR="&amp;$C$2)</f>
        <v>#NAME?</v>
      </c>
      <c r="J15" t="e" cm="1">
        <f t="array" aca="1" ref="J15" ca="1">IF(_xll.BDP($E15&amp;" isin",J$3)="#N/A N/A", _xll.BDP($E15&amp;" isin",J$2,"EQY_FUND_YEAR="&amp;$C$2), _xll.BDP($E15&amp;" isin",J$3,"EQY_FUND_YEAR="&amp;$C$2))</f>
        <v>#NAME?</v>
      </c>
      <c r="K15" t="e" cm="1">
        <f t="array" aca="1" ref="K15" ca="1">_xll.BDP($E15&amp;" isin",K$3,"EQY_FUND_YEAR="&amp;$K$2)</f>
        <v>#NAME?</v>
      </c>
    </row>
    <row r="16" spans="2:11" ht="14">
      <c r="C16" s="1" t="s">
        <v>35</v>
      </c>
      <c r="D16" s="1" t="s">
        <v>33</v>
      </c>
      <c r="E16" s="1" t="s">
        <v>36</v>
      </c>
      <c r="F16" t="e" cm="1">
        <f t="array" aca="1" ref="F16" ca="1">IF(_xll.BDP($E16&amp;" isin",F$3)="#N/A N/A", _xll.BDP($E16&amp;" isin",F$2,"EQY_FUND_YEAR="&amp;$C$2), _xll.BDP($E16&amp;" isin",F$3,"EQY_FUND_YEAR="&amp;$C$2))</f>
        <v>#NAME?</v>
      </c>
      <c r="G16" t="e" cm="1">
        <f t="array" aca="1" ref="G16" ca="1">_xll.BDP($E16&amp;" isin",G$3,"EQY_FUND_YEAR="&amp;$C$2)</f>
        <v>#NAME?</v>
      </c>
      <c r="H16" t="e" cm="1">
        <f t="array" aca="1" ref="H16" ca="1">_xll.BDP($E16&amp;" isin",H$3,"EQY_FUND_CRNCY="&amp;$C$1, "EQY_FUND_YEAR="&amp;$C$2)</f>
        <v>#NAME?</v>
      </c>
      <c r="I16" t="e" cm="1">
        <f t="array" aca="1" ref="I16" ca="1">_xll.BDP($E16&amp;" isin",I$3,"EQY_FUND_YEAR="&amp;$C$2)</f>
        <v>#NAME?</v>
      </c>
      <c r="J16" t="e" cm="1">
        <f t="array" aca="1" ref="J16" ca="1">IF(_xll.BDP($E16&amp;" isin",J$3)="#N/A N/A", _xll.BDP($E16&amp;" isin",J$2,"EQY_FUND_YEAR="&amp;$C$2), _xll.BDP($E16&amp;" isin",J$3,"EQY_FUND_YEAR="&amp;$C$2))</f>
        <v>#NAME?</v>
      </c>
      <c r="K16" t="e" cm="1">
        <f t="array" aca="1" ref="K16" ca="1">_xll.BDP($E16&amp;" isin",K$3,"EQY_FUND_YEAR="&amp;$K$2)</f>
        <v>#NAME?</v>
      </c>
    </row>
    <row r="17" spans="3:11" ht="14">
      <c r="C17" s="1" t="s">
        <v>37</v>
      </c>
      <c r="D17" s="1" t="s">
        <v>38</v>
      </c>
      <c r="E17" s="1" t="s">
        <v>39</v>
      </c>
      <c r="F17" t="e" cm="1">
        <f t="array" aca="1" ref="F17" ca="1">IF(_xll.BDP($E17&amp;" isin",F$3)="#N/A N/A", _xll.BDP($E17&amp;" isin",F$2,"EQY_FUND_YEAR="&amp;$C$2), _xll.BDP($E17&amp;" isin",F$3,"EQY_FUND_YEAR="&amp;$C$2))</f>
        <v>#NAME?</v>
      </c>
      <c r="G17" t="e" cm="1">
        <f t="array" aca="1" ref="G17" ca="1">_xll.BDP($E17&amp;" isin",G$3,"EQY_FUND_YEAR="&amp;$C$2)</f>
        <v>#NAME?</v>
      </c>
      <c r="H17" t="e" cm="1">
        <f t="array" aca="1" ref="H17" ca="1">_xll.BDP($E17&amp;" isin",H$3,"EQY_FUND_CRNCY="&amp;$C$1, "EQY_FUND_YEAR="&amp;$C$2)</f>
        <v>#NAME?</v>
      </c>
      <c r="I17" t="e" cm="1">
        <f t="array" aca="1" ref="I17" ca="1">_xll.BDP($E17&amp;" isin",I$3,"EQY_FUND_YEAR="&amp;$C$2)</f>
        <v>#NAME?</v>
      </c>
      <c r="J17" t="e" cm="1">
        <f t="array" aca="1" ref="J17" ca="1">IF(_xll.BDP($E17&amp;" isin",J$3)="#N/A N/A", _xll.BDP($E17&amp;" isin",J$2,"EQY_FUND_YEAR="&amp;$C$2), _xll.BDP($E17&amp;" isin",J$3,"EQY_FUND_YEAR="&amp;$C$2))</f>
        <v>#NAME?</v>
      </c>
      <c r="K17" t="e" cm="1">
        <f t="array" aca="1" ref="K17" ca="1">_xll.BDP($E17&amp;" isin",K$3,"EQY_FUND_YEAR="&amp;$K$2)</f>
        <v>#NAME?</v>
      </c>
    </row>
    <row r="18" spans="3:11" ht="14">
      <c r="C18" s="1" t="s">
        <v>40</v>
      </c>
      <c r="D18" s="1" t="s">
        <v>38</v>
      </c>
      <c r="E18" s="1" t="s">
        <v>41</v>
      </c>
      <c r="F18" t="e" cm="1">
        <f t="array" aca="1" ref="F18" ca="1">IF(_xll.BDP($E18&amp;" isin",F$3)="#N/A N/A", _xll.BDP($E18&amp;" isin",F$2,"EQY_FUND_YEAR="&amp;$C$2), _xll.BDP($E18&amp;" isin",F$3,"EQY_FUND_YEAR="&amp;$C$2))</f>
        <v>#NAME?</v>
      </c>
      <c r="G18" t="e" cm="1">
        <f t="array" aca="1" ref="G18" ca="1">_xll.BDP($E18&amp;" isin",G$3,"EQY_FUND_YEAR="&amp;$C$2)</f>
        <v>#NAME?</v>
      </c>
      <c r="H18" t="e" cm="1">
        <f t="array" aca="1" ref="H18" ca="1">_xll.BDP($E18&amp;" isin",H$3,"EQY_FUND_CRNCY="&amp;$C$1, "EQY_FUND_YEAR="&amp;$C$2)</f>
        <v>#NAME?</v>
      </c>
      <c r="I18" t="e" cm="1">
        <f t="array" aca="1" ref="I18" ca="1">_xll.BDP($E18&amp;" isin",I$3,"EQY_FUND_YEAR="&amp;$C$2)</f>
        <v>#NAME?</v>
      </c>
      <c r="J18" t="e" cm="1">
        <f t="array" aca="1" ref="J18" ca="1">IF(_xll.BDP($E18&amp;" isin",J$3)="#N/A N/A", _xll.BDP($E18&amp;" isin",J$2,"EQY_FUND_YEAR="&amp;$C$2), _xll.BDP($E18&amp;" isin",J$3,"EQY_FUND_YEAR="&amp;$C$2))</f>
        <v>#NAME?</v>
      </c>
      <c r="K18" t="e" cm="1">
        <f t="array" aca="1" ref="K18" ca="1">_xll.BDP($E18&amp;" isin",K$3,"EQY_FUND_YEAR="&amp;$K$2)</f>
        <v>#NAME?</v>
      </c>
    </row>
    <row r="19" spans="3:11" ht="14">
      <c r="C19" s="1" t="s">
        <v>42</v>
      </c>
      <c r="D19" s="1" t="s">
        <v>43</v>
      </c>
      <c r="E19" s="1" t="s">
        <v>44</v>
      </c>
      <c r="F19" t="e" cm="1">
        <f t="array" aca="1" ref="F19" ca="1">IF(_xll.BDP($E19&amp;" isin",F$3)="#N/A N/A", _xll.BDP($E19&amp;" isin",F$2,"EQY_FUND_YEAR="&amp;$C$2), _xll.BDP($E19&amp;" isin",F$3,"EQY_FUND_YEAR="&amp;$C$2))</f>
        <v>#NAME?</v>
      </c>
      <c r="G19" t="e" cm="1">
        <f t="array" aca="1" ref="G19" ca="1">_xll.BDP($E19&amp;" isin",G$3,"EQY_FUND_YEAR="&amp;$C$2)</f>
        <v>#NAME?</v>
      </c>
      <c r="H19" t="e" cm="1">
        <f t="array" aca="1" ref="H19" ca="1">_xll.BDP($E19&amp;" isin",H$3,"EQY_FUND_CRNCY="&amp;$C$1, "EQY_FUND_YEAR="&amp;$C$2)</f>
        <v>#NAME?</v>
      </c>
      <c r="I19" t="e" cm="1">
        <f t="array" aca="1" ref="I19" ca="1">_xll.BDP($E19&amp;" isin",I$3,"EQY_FUND_YEAR="&amp;$C$2)</f>
        <v>#NAME?</v>
      </c>
      <c r="J19" t="e" cm="1">
        <f t="array" aca="1" ref="J19" ca="1">IF(_xll.BDP($E19&amp;" isin",J$3)="#N/A N/A", _xll.BDP($E19&amp;" isin",J$2,"EQY_FUND_YEAR="&amp;$C$2), _xll.BDP($E19&amp;" isin",J$3,"EQY_FUND_YEAR="&amp;$C$2))</f>
        <v>#NAME?</v>
      </c>
      <c r="K19" t="e" cm="1">
        <f t="array" aca="1" ref="K19" ca="1">_xll.BDP($E19&amp;" isin",K$3,"EQY_FUND_YEAR="&amp;$K$2)</f>
        <v>#NAME?</v>
      </c>
    </row>
    <row r="20" spans="3:11" ht="14">
      <c r="C20" s="1" t="s">
        <v>45</v>
      </c>
      <c r="D20" s="1" t="s">
        <v>46</v>
      </c>
      <c r="E20" s="1" t="s">
        <v>47</v>
      </c>
      <c r="F20" t="e" cm="1">
        <f t="array" aca="1" ref="F20" ca="1">IF(_xll.BDP($E20&amp;" isin",F$3)="#N/A N/A", _xll.BDP($E20&amp;" isin",F$2,"EQY_FUND_YEAR="&amp;$C$2), _xll.BDP($E20&amp;" isin",F$3,"EQY_FUND_YEAR="&amp;$C$2))</f>
        <v>#NAME?</v>
      </c>
      <c r="G20" t="e" cm="1">
        <f t="array" aca="1" ref="G20" ca="1">_xll.BDP($E20&amp;" isin",G$3,"EQY_FUND_YEAR="&amp;$C$2)</f>
        <v>#NAME?</v>
      </c>
      <c r="H20" t="e" cm="1">
        <f t="array" aca="1" ref="H20" ca="1">_xll.BDP($E20&amp;" isin",H$3,"EQY_FUND_CRNCY="&amp;$C$1, "EQY_FUND_YEAR="&amp;$C$2)</f>
        <v>#NAME?</v>
      </c>
      <c r="I20" t="e" cm="1">
        <f t="array" aca="1" ref="I20" ca="1">_xll.BDP($E20&amp;" isin",I$3,"EQY_FUND_YEAR="&amp;$C$2)</f>
        <v>#NAME?</v>
      </c>
      <c r="J20" t="e" cm="1">
        <f t="array" aca="1" ref="J20" ca="1">IF(_xll.BDP($E20&amp;" isin",J$3)="#N/A N/A", _xll.BDP($E20&amp;" isin",J$2,"EQY_FUND_YEAR="&amp;$C$2), _xll.BDP($E20&amp;" isin",J$3,"EQY_FUND_YEAR="&amp;$C$2))</f>
        <v>#NAME?</v>
      </c>
      <c r="K20" t="e" cm="1">
        <f t="array" aca="1" ref="K20" ca="1">_xll.BDP($E20&amp;" isin",K$3,"EQY_FUND_YEAR="&amp;$K$2)</f>
        <v>#NAME?</v>
      </c>
    </row>
    <row r="21" spans="3:11" ht="14">
      <c r="C21" s="1" t="s">
        <v>48</v>
      </c>
      <c r="D21" s="1" t="s">
        <v>49</v>
      </c>
      <c r="E21" s="1" t="s">
        <v>50</v>
      </c>
      <c r="F21" t="e" cm="1">
        <f t="array" aca="1" ref="F21" ca="1">IF(_xll.BDP($E21&amp;" isin",F$3)="#N/A N/A", _xll.BDP($E21&amp;" isin",F$2,"EQY_FUND_YEAR="&amp;$C$2), _xll.BDP($E21&amp;" isin",F$3,"EQY_FUND_YEAR="&amp;$C$2))</f>
        <v>#NAME?</v>
      </c>
      <c r="G21" t="e" cm="1">
        <f t="array" aca="1" ref="G21" ca="1">_xll.BDP($E21&amp;" isin",G$3,"EQY_FUND_YEAR="&amp;$C$2)</f>
        <v>#NAME?</v>
      </c>
      <c r="H21" t="e" cm="1">
        <f t="array" aca="1" ref="H21" ca="1">_xll.BDP($E21&amp;" isin",H$3,"EQY_FUND_CRNCY="&amp;$C$1, "EQY_FUND_YEAR="&amp;$C$2)</f>
        <v>#NAME?</v>
      </c>
      <c r="I21" t="e" cm="1">
        <f t="array" aca="1" ref="I21" ca="1">_xll.BDP($E21&amp;" isin",I$3,"EQY_FUND_YEAR="&amp;$C$2)</f>
        <v>#NAME?</v>
      </c>
      <c r="J21" t="e" cm="1">
        <f t="array" aca="1" ref="J21" ca="1">IF(_xll.BDP($E21&amp;" isin",J$3)="#N/A N/A", _xll.BDP($E21&amp;" isin",J$2,"EQY_FUND_YEAR="&amp;$C$2), _xll.BDP($E21&amp;" isin",J$3,"EQY_FUND_YEAR="&amp;$C$2))</f>
        <v>#NAME?</v>
      </c>
      <c r="K21" t="e" cm="1">
        <f t="array" aca="1" ref="K21" ca="1">_xll.BDP($E21&amp;" isin",K$3,"EQY_FUND_YEAR="&amp;$K$2)</f>
        <v>#NAME?</v>
      </c>
    </row>
    <row r="22" spans="3:11" ht="14">
      <c r="C22" s="1" t="s">
        <v>51</v>
      </c>
      <c r="D22" s="1" t="s">
        <v>49</v>
      </c>
      <c r="E22" s="1" t="s">
        <v>52</v>
      </c>
      <c r="F22" t="e" cm="1">
        <f t="array" aca="1" ref="F22" ca="1">IF(_xll.BDP($E22&amp;" isin",F$3)="#N/A N/A", _xll.BDP($E22&amp;" isin",F$2,"EQY_FUND_YEAR="&amp;$C$2), _xll.BDP($E22&amp;" isin",F$3,"EQY_FUND_YEAR="&amp;$C$2))</f>
        <v>#NAME?</v>
      </c>
      <c r="G22" t="e" cm="1">
        <f t="array" aca="1" ref="G22" ca="1">_xll.BDP($E22&amp;" isin",G$3,"EQY_FUND_YEAR="&amp;$C$2)</f>
        <v>#NAME?</v>
      </c>
      <c r="H22" t="e" cm="1">
        <f t="array" aca="1" ref="H22" ca="1">_xll.BDP($E22&amp;" isin",H$3,"EQY_FUND_CRNCY="&amp;$C$1, "EQY_FUND_YEAR="&amp;$C$2)</f>
        <v>#NAME?</v>
      </c>
      <c r="I22" t="e" cm="1">
        <f t="array" aca="1" ref="I22" ca="1">_xll.BDP($E22&amp;" isin",I$3,"EQY_FUND_YEAR="&amp;$C$2)</f>
        <v>#NAME?</v>
      </c>
      <c r="J22" t="e" cm="1">
        <f t="array" aca="1" ref="J22" ca="1">IF(_xll.BDP($E22&amp;" isin",J$3)="#N/A N/A", _xll.BDP($E22&amp;" isin",J$2,"EQY_FUND_YEAR="&amp;$C$2), _xll.BDP($E22&amp;" isin",J$3,"EQY_FUND_YEAR="&amp;$C$2))</f>
        <v>#NAME?</v>
      </c>
      <c r="K22" t="e" cm="1">
        <f t="array" aca="1" ref="K22" ca="1">_xll.BDP($E22&amp;" isin",K$3,"EQY_FUND_YEAR="&amp;$K$2)</f>
        <v>#NAME?</v>
      </c>
    </row>
    <row r="23" spans="3:11" ht="14">
      <c r="C23" s="1" t="s">
        <v>53</v>
      </c>
      <c r="D23" s="1" t="s">
        <v>49</v>
      </c>
      <c r="E23" s="1" t="s">
        <v>54</v>
      </c>
      <c r="F23" t="e" cm="1">
        <f t="array" aca="1" ref="F23" ca="1">IF(_xll.BDP($E23&amp;" isin",F$3)="#N/A N/A", _xll.BDP($E23&amp;" isin",F$2,"EQY_FUND_YEAR="&amp;$C$2), _xll.BDP($E23&amp;" isin",F$3,"EQY_FUND_YEAR="&amp;$C$2))</f>
        <v>#NAME?</v>
      </c>
      <c r="G23" t="e" cm="1">
        <f t="array" aca="1" ref="G23" ca="1">_xll.BDP($E23&amp;" isin",G$3,"EQY_FUND_YEAR="&amp;$C$2)</f>
        <v>#NAME?</v>
      </c>
      <c r="H23" t="e" cm="1">
        <f t="array" aca="1" ref="H23" ca="1">_xll.BDP($E23&amp;" isin",H$3,"EQY_FUND_CRNCY="&amp;$C$1, "EQY_FUND_YEAR="&amp;$C$2)</f>
        <v>#NAME?</v>
      </c>
      <c r="I23" t="e" cm="1">
        <f t="array" aca="1" ref="I23" ca="1">_xll.BDP($E23&amp;" isin",I$3,"EQY_FUND_YEAR="&amp;$C$2)</f>
        <v>#NAME?</v>
      </c>
      <c r="J23" t="e" cm="1">
        <f t="array" aca="1" ref="J23" ca="1">IF(_xll.BDP($E23&amp;" isin",J$3)="#N/A N/A", _xll.BDP($E23&amp;" isin",J$2,"EQY_FUND_YEAR="&amp;$C$2), _xll.BDP($E23&amp;" isin",J$3,"EQY_FUND_YEAR="&amp;$C$2))</f>
        <v>#NAME?</v>
      </c>
      <c r="K23" t="e" cm="1">
        <f t="array" aca="1" ref="K23" ca="1">_xll.BDP($E23&amp;" isin",K$3,"EQY_FUND_YEAR="&amp;$K$2)</f>
        <v>#NAME?</v>
      </c>
    </row>
    <row r="24" spans="3:11" ht="14">
      <c r="C24" s="1" t="s">
        <v>55</v>
      </c>
      <c r="D24" s="1" t="s">
        <v>56</v>
      </c>
      <c r="E24" s="1" t="s">
        <v>57</v>
      </c>
      <c r="F24" t="e" cm="1">
        <f t="array" aca="1" ref="F24" ca="1">IF(_xll.BDP($E24&amp;" isin",F$3)="#N/A N/A", _xll.BDP($E24&amp;" isin",F$2,"EQY_FUND_YEAR="&amp;$C$2), _xll.BDP($E24&amp;" isin",F$3,"EQY_FUND_YEAR="&amp;$C$2))</f>
        <v>#NAME?</v>
      </c>
      <c r="G24" t="e" cm="1">
        <f t="array" aca="1" ref="G24" ca="1">_xll.BDP($E24&amp;" isin",G$3,"EQY_FUND_YEAR="&amp;$C$2)</f>
        <v>#NAME?</v>
      </c>
      <c r="H24" t="e" cm="1">
        <f t="array" aca="1" ref="H24" ca="1">_xll.BDP($E24&amp;" isin",H$3,"EQY_FUND_CRNCY="&amp;$C$1, "EQY_FUND_YEAR="&amp;$C$2)</f>
        <v>#NAME?</v>
      </c>
      <c r="I24" t="e" cm="1">
        <f t="array" aca="1" ref="I24" ca="1">_xll.BDP($E24&amp;" isin",I$3,"EQY_FUND_YEAR="&amp;$C$2)</f>
        <v>#NAME?</v>
      </c>
      <c r="J24" t="e" cm="1">
        <f t="array" aca="1" ref="J24" ca="1">IF(_xll.BDP($E24&amp;" isin",J$3)="#N/A N/A", _xll.BDP($E24&amp;" isin",J$2,"EQY_FUND_YEAR="&amp;$C$2), _xll.BDP($E24&amp;" isin",J$3,"EQY_FUND_YEAR="&amp;$C$2))</f>
        <v>#NAME?</v>
      </c>
      <c r="K24" t="e" cm="1">
        <f t="array" aca="1" ref="K24" ca="1">_xll.BDP($E24&amp;" isin",K$3,"EQY_FUND_YEAR="&amp;$K$2)</f>
        <v>#NAME?</v>
      </c>
    </row>
    <row r="25" spans="3:11" ht="14">
      <c r="C25" s="1" t="s">
        <v>58</v>
      </c>
      <c r="D25" s="1" t="s">
        <v>59</v>
      </c>
      <c r="E25" s="1" t="s">
        <v>60</v>
      </c>
      <c r="F25" t="e" cm="1">
        <f t="array" aca="1" ref="F25" ca="1">IF(_xll.BDP($E25&amp;" isin",F$3)="#N/A N/A", _xll.BDP($E25&amp;" isin",F$2,"EQY_FUND_YEAR="&amp;$C$2), _xll.BDP($E25&amp;" isin",F$3,"EQY_FUND_YEAR="&amp;$C$2))</f>
        <v>#NAME?</v>
      </c>
      <c r="G25" t="e" cm="1">
        <f t="array" aca="1" ref="G25" ca="1">_xll.BDP($E25&amp;" isin",G$3,"EQY_FUND_YEAR="&amp;$C$2)</f>
        <v>#NAME?</v>
      </c>
      <c r="H25" t="e" cm="1">
        <f t="array" aca="1" ref="H25" ca="1">_xll.BDP($E25&amp;" isin",H$3,"EQY_FUND_CRNCY="&amp;$C$1, "EQY_FUND_YEAR="&amp;$C$2)</f>
        <v>#NAME?</v>
      </c>
      <c r="I25" t="e" cm="1">
        <f t="array" aca="1" ref="I25" ca="1">_xll.BDP($E25&amp;" isin",I$3,"EQY_FUND_YEAR="&amp;$C$2)</f>
        <v>#NAME?</v>
      </c>
      <c r="J25" t="e" cm="1">
        <f t="array" aca="1" ref="J25" ca="1">IF(_xll.BDP($E25&amp;" isin",J$3)="#N/A N/A", _xll.BDP($E25&amp;" isin",J$2,"EQY_FUND_YEAR="&amp;$C$2), _xll.BDP($E25&amp;" isin",J$3,"EQY_FUND_YEAR="&amp;$C$2))</f>
        <v>#NAME?</v>
      </c>
      <c r="K25" t="e" cm="1">
        <f t="array" aca="1" ref="K25" ca="1">_xll.BDP($E25&amp;" isin",K$3,"EQY_FUND_YEAR="&amp;$K$2)</f>
        <v>#NAME?</v>
      </c>
    </row>
    <row r="26" spans="3:11" ht="14">
      <c r="C26" s="1" t="s">
        <v>61</v>
      </c>
      <c r="D26" s="1" t="s">
        <v>59</v>
      </c>
      <c r="E26" s="1" t="s">
        <v>62</v>
      </c>
      <c r="F26" t="e" cm="1">
        <f t="array" aca="1" ref="F26" ca="1">IF(_xll.BDP($E26&amp;" isin",F$3)="#N/A N/A", _xll.BDP($E26&amp;" isin",F$2,"EQY_FUND_YEAR="&amp;$C$2), _xll.BDP($E26&amp;" isin",F$3,"EQY_FUND_YEAR="&amp;$C$2))</f>
        <v>#NAME?</v>
      </c>
      <c r="G26" t="e" cm="1">
        <f t="array" aca="1" ref="G26" ca="1">_xll.BDP($E26&amp;" isin",G$3,"EQY_FUND_YEAR="&amp;$C$2)</f>
        <v>#NAME?</v>
      </c>
      <c r="H26" t="e" cm="1">
        <f t="array" aca="1" ref="H26" ca="1">_xll.BDP($E26&amp;" isin",H$3,"EQY_FUND_CRNCY="&amp;$C$1, "EQY_FUND_YEAR="&amp;$C$2)</f>
        <v>#NAME?</v>
      </c>
      <c r="I26" t="e" cm="1">
        <f t="array" aca="1" ref="I26" ca="1">_xll.BDP($E26&amp;" isin",I$3,"EQY_FUND_YEAR="&amp;$C$2)</f>
        <v>#NAME?</v>
      </c>
      <c r="J26" t="e" cm="1">
        <f t="array" aca="1" ref="J26" ca="1">IF(_xll.BDP($E26&amp;" isin",J$3)="#N/A N/A", _xll.BDP($E26&amp;" isin",J$2,"EQY_FUND_YEAR="&amp;$C$2), _xll.BDP($E26&amp;" isin",J$3,"EQY_FUND_YEAR="&amp;$C$2))</f>
        <v>#NAME?</v>
      </c>
      <c r="K26" t="e" cm="1">
        <f t="array" aca="1" ref="K26" ca="1">_xll.BDP($E26&amp;" isin",K$3,"EQY_FUND_YEAR="&amp;$K$2)</f>
        <v>#NAME?</v>
      </c>
    </row>
    <row r="27" spans="3:11" ht="14">
      <c r="C27" s="1" t="s">
        <v>63</v>
      </c>
      <c r="D27" s="1" t="s">
        <v>64</v>
      </c>
      <c r="E27" s="1" t="s">
        <v>65</v>
      </c>
      <c r="F27" t="e" cm="1">
        <f t="array" aca="1" ref="F27" ca="1">IF(_xll.BDP($E27&amp;" isin",F$3)="#N/A N/A", _xll.BDP($E27&amp;" isin",F$2,"EQY_FUND_YEAR="&amp;$C$2), _xll.BDP($E27&amp;" isin",F$3,"EQY_FUND_YEAR="&amp;$C$2))</f>
        <v>#NAME?</v>
      </c>
      <c r="G27" t="e" cm="1">
        <f t="array" aca="1" ref="G27" ca="1">_xll.BDP($E27&amp;" isin",G$3,"EQY_FUND_YEAR="&amp;$C$2)</f>
        <v>#NAME?</v>
      </c>
      <c r="H27" t="e" cm="1">
        <f t="array" aca="1" ref="H27" ca="1">_xll.BDP($E27&amp;" isin",H$3,"EQY_FUND_CRNCY="&amp;$C$1, "EQY_FUND_YEAR="&amp;$C$2)</f>
        <v>#NAME?</v>
      </c>
      <c r="I27" t="e" cm="1">
        <f t="array" aca="1" ref="I27" ca="1">_xll.BDP($E27&amp;" isin",I$3,"EQY_FUND_YEAR="&amp;$C$2)</f>
        <v>#NAME?</v>
      </c>
      <c r="J27" t="e" cm="1">
        <f t="array" aca="1" ref="J27" ca="1">IF(_xll.BDP($E27&amp;" isin",J$3)="#N/A N/A", _xll.BDP($E27&amp;" isin",J$2,"EQY_FUND_YEAR="&amp;$C$2), _xll.BDP($E27&amp;" isin",J$3,"EQY_FUND_YEAR="&amp;$C$2))</f>
        <v>#NAME?</v>
      </c>
      <c r="K27" t="e" cm="1">
        <f t="array" aca="1" ref="K27" ca="1">_xll.BDP($E27&amp;" isin",K$3,"EQY_FUND_YEAR="&amp;$K$2)</f>
        <v>#NAME?</v>
      </c>
    </row>
    <row r="28" spans="3:11" ht="14">
      <c r="C28" s="1" t="s">
        <v>66</v>
      </c>
      <c r="D28" s="1" t="s">
        <v>64</v>
      </c>
      <c r="E28" s="1" t="s">
        <v>67</v>
      </c>
      <c r="F28" t="e" cm="1">
        <f t="array" aca="1" ref="F28" ca="1">IF(_xll.BDP($E28&amp;" isin",F$3)="#N/A N/A", _xll.BDP($E28&amp;" isin",F$2,"EQY_FUND_YEAR="&amp;$C$2), _xll.BDP($E28&amp;" isin",F$3,"EQY_FUND_YEAR="&amp;$C$2))</f>
        <v>#NAME?</v>
      </c>
      <c r="G28" t="e" cm="1">
        <f t="array" aca="1" ref="G28" ca="1">_xll.BDP($E28&amp;" isin",G$3,"EQY_FUND_YEAR="&amp;$C$2)</f>
        <v>#NAME?</v>
      </c>
      <c r="H28" t="e" cm="1">
        <f t="array" aca="1" ref="H28" ca="1">_xll.BDP($E28&amp;" isin",H$3,"EQY_FUND_CRNCY="&amp;$C$1, "EQY_FUND_YEAR="&amp;$C$2)</f>
        <v>#NAME?</v>
      </c>
      <c r="I28" t="e" cm="1">
        <f t="array" aca="1" ref="I28" ca="1">_xll.BDP($E28&amp;" isin",I$3,"EQY_FUND_YEAR="&amp;$C$2)</f>
        <v>#NAME?</v>
      </c>
      <c r="J28" t="e" cm="1">
        <f t="array" aca="1" ref="J28" ca="1">IF(_xll.BDP($E28&amp;" isin",J$3)="#N/A N/A", _xll.BDP($E28&amp;" isin",J$2,"EQY_FUND_YEAR="&amp;$C$2), _xll.BDP($E28&amp;" isin",J$3,"EQY_FUND_YEAR="&amp;$C$2))</f>
        <v>#NAME?</v>
      </c>
      <c r="K28" t="e" cm="1">
        <f t="array" aca="1" ref="K28" ca="1">_xll.BDP($E28&amp;" isin",K$3,"EQY_FUND_YEAR="&amp;$K$2)</f>
        <v>#NAME?</v>
      </c>
    </row>
    <row r="29" spans="3:11" ht="14">
      <c r="C29" s="1" t="s">
        <v>68</v>
      </c>
      <c r="D29" s="1" t="s">
        <v>64</v>
      </c>
      <c r="E29" s="1" t="s">
        <v>69</v>
      </c>
      <c r="F29" t="e" cm="1">
        <f t="array" aca="1" ref="F29" ca="1">IF(_xll.BDP($E29&amp;" isin",F$3)="#N/A N/A", _xll.BDP($E29&amp;" isin",F$2,"EQY_FUND_YEAR="&amp;$C$2), _xll.BDP($E29&amp;" isin",F$3,"EQY_FUND_YEAR="&amp;$C$2))</f>
        <v>#NAME?</v>
      </c>
      <c r="G29" t="e" cm="1">
        <f t="array" aca="1" ref="G29" ca="1">_xll.BDP($E29&amp;" isin",G$3,"EQY_FUND_YEAR="&amp;$C$2)</f>
        <v>#NAME?</v>
      </c>
      <c r="H29" t="e" cm="1">
        <f t="array" aca="1" ref="H29" ca="1">_xll.BDP($E29&amp;" isin",H$3,"EQY_FUND_CRNCY="&amp;$C$1, "EQY_FUND_YEAR="&amp;$C$2)</f>
        <v>#NAME?</v>
      </c>
      <c r="I29" t="e" cm="1">
        <f t="array" aca="1" ref="I29" ca="1">_xll.BDP($E29&amp;" isin",I$3,"EQY_FUND_YEAR="&amp;$C$2)</f>
        <v>#NAME?</v>
      </c>
      <c r="J29" t="e" cm="1">
        <f t="array" aca="1" ref="J29" ca="1">IF(_xll.BDP($E29&amp;" isin",J$3)="#N/A N/A", _xll.BDP($E29&amp;" isin",J$2,"EQY_FUND_YEAR="&amp;$C$2), _xll.BDP($E29&amp;" isin",J$3,"EQY_FUND_YEAR="&amp;$C$2))</f>
        <v>#NAME?</v>
      </c>
      <c r="K29" t="e" cm="1">
        <f t="array" aca="1" ref="K29" ca="1">_xll.BDP($E29&amp;" isin",K$3,"EQY_FUND_YEAR="&amp;$K$2)</f>
        <v>#NAME?</v>
      </c>
    </row>
    <row r="30" spans="3:11" ht="14">
      <c r="C30" s="1" t="s">
        <v>70</v>
      </c>
      <c r="D30" s="1" t="s">
        <v>71</v>
      </c>
      <c r="E30" s="1" t="s">
        <v>72</v>
      </c>
      <c r="F30" t="e" cm="1">
        <f t="array" aca="1" ref="F30" ca="1">IF(_xll.BDP($E30&amp;" isin",F$3)="#N/A N/A", _xll.BDP($E30&amp;" isin",F$2,"EQY_FUND_YEAR="&amp;$C$2), _xll.BDP($E30&amp;" isin",F$3,"EQY_FUND_YEAR="&amp;$C$2))</f>
        <v>#NAME?</v>
      </c>
      <c r="G30" t="e" cm="1">
        <f t="array" aca="1" ref="G30" ca="1">_xll.BDP($E30&amp;" isin",G$3,"EQY_FUND_YEAR="&amp;$C$2)</f>
        <v>#NAME?</v>
      </c>
      <c r="H30" t="e" cm="1">
        <f t="array" aca="1" ref="H30" ca="1">_xll.BDP($E30&amp;" isin",H$3,"EQY_FUND_CRNCY="&amp;$C$1, "EQY_FUND_YEAR="&amp;$C$2)</f>
        <v>#NAME?</v>
      </c>
      <c r="I30" t="e" cm="1">
        <f t="array" aca="1" ref="I30" ca="1">_xll.BDP($E30&amp;" isin",I$3,"EQY_FUND_YEAR="&amp;$C$2)</f>
        <v>#NAME?</v>
      </c>
      <c r="J30" t="e" cm="1">
        <f t="array" aca="1" ref="J30" ca="1">IF(_xll.BDP($E30&amp;" isin",J$3)="#N/A N/A", _xll.BDP($E30&amp;" isin",J$2,"EQY_FUND_YEAR="&amp;$C$2), _xll.BDP($E30&amp;" isin",J$3,"EQY_FUND_YEAR="&amp;$C$2))</f>
        <v>#NAME?</v>
      </c>
      <c r="K30" t="e" cm="1">
        <f t="array" aca="1" ref="K30" ca="1">_xll.BDP($E30&amp;" isin",K$3,"EQY_FUND_YEAR="&amp;$K$2)</f>
        <v>#NAME?</v>
      </c>
    </row>
    <row r="31" spans="3:11" ht="14">
      <c r="C31" s="1" t="s">
        <v>73</v>
      </c>
      <c r="D31" s="1" t="s">
        <v>71</v>
      </c>
      <c r="E31" s="1" t="s">
        <v>74</v>
      </c>
      <c r="F31" t="e" cm="1">
        <f t="array" aca="1" ref="F31" ca="1">IF(_xll.BDP($E31&amp;" isin",F$3)="#N/A N/A", _xll.BDP($E31&amp;" isin",F$2,"EQY_FUND_YEAR="&amp;$C$2), _xll.BDP($E31&amp;" isin",F$3,"EQY_FUND_YEAR="&amp;$C$2))</f>
        <v>#NAME?</v>
      </c>
      <c r="G31" t="e" cm="1">
        <f t="array" aca="1" ref="G31" ca="1">_xll.BDP($E31&amp;" isin",G$3,"EQY_FUND_YEAR="&amp;$C$2)</f>
        <v>#NAME?</v>
      </c>
      <c r="H31" t="e" cm="1">
        <f t="array" aca="1" ref="H31" ca="1">_xll.BDP($E31&amp;" isin",H$3,"EQY_FUND_CRNCY="&amp;$C$1, "EQY_FUND_YEAR="&amp;$C$2)</f>
        <v>#NAME?</v>
      </c>
      <c r="I31" t="e" cm="1">
        <f t="array" aca="1" ref="I31" ca="1">_xll.BDP($E31&amp;" isin",I$3,"EQY_FUND_YEAR="&amp;$C$2)</f>
        <v>#NAME?</v>
      </c>
      <c r="J31" t="e" cm="1">
        <f t="array" aca="1" ref="J31" ca="1">IF(_xll.BDP($E31&amp;" isin",J$3)="#N/A N/A", _xll.BDP($E31&amp;" isin",J$2,"EQY_FUND_YEAR="&amp;$C$2), _xll.BDP($E31&amp;" isin",J$3,"EQY_FUND_YEAR="&amp;$C$2))</f>
        <v>#NAME?</v>
      </c>
      <c r="K31" t="e" cm="1">
        <f t="array" aca="1" ref="K31" ca="1">_xll.BDP($E31&amp;" isin",K$3,"EQY_FUND_YEAR="&amp;$K$2)</f>
        <v>#NAME?</v>
      </c>
    </row>
    <row r="32" spans="3:11" ht="14">
      <c r="C32" s="1" t="s">
        <v>75</v>
      </c>
      <c r="D32" s="1" t="s">
        <v>76</v>
      </c>
      <c r="E32" s="1" t="s">
        <v>77</v>
      </c>
      <c r="F32" t="e" cm="1">
        <f t="array" aca="1" ref="F32" ca="1">IF(_xll.BDP($E32&amp;" isin",F$3)="#N/A N/A", _xll.BDP($E32&amp;" isin",F$2,"EQY_FUND_YEAR="&amp;$C$2), _xll.BDP($E32&amp;" isin",F$3,"EQY_FUND_YEAR="&amp;$C$2))</f>
        <v>#NAME?</v>
      </c>
      <c r="G32" t="e" cm="1">
        <f t="array" aca="1" ref="G32" ca="1">_xll.BDP($E32&amp;" isin",G$3,"EQY_FUND_YEAR="&amp;$C$2)</f>
        <v>#NAME?</v>
      </c>
      <c r="H32" t="e" cm="1">
        <f t="array" aca="1" ref="H32" ca="1">_xll.BDP($E32&amp;" isin",H$3,"EQY_FUND_CRNCY="&amp;$C$1, "EQY_FUND_YEAR="&amp;$C$2)</f>
        <v>#NAME?</v>
      </c>
      <c r="I32" t="e" cm="1">
        <f t="array" aca="1" ref="I32" ca="1">_xll.BDP($E32&amp;" isin",I$3,"EQY_FUND_YEAR="&amp;$C$2)</f>
        <v>#NAME?</v>
      </c>
      <c r="J32" t="e" cm="1">
        <f t="array" aca="1" ref="J32" ca="1">IF(_xll.BDP($E32&amp;" isin",J$3)="#N/A N/A", _xll.BDP($E32&amp;" isin",J$2,"EQY_FUND_YEAR="&amp;$C$2), _xll.BDP($E32&amp;" isin",J$3,"EQY_FUND_YEAR="&amp;$C$2))</f>
        <v>#NAME?</v>
      </c>
      <c r="K32" t="e" cm="1">
        <f t="array" aca="1" ref="K32" ca="1">_xll.BDP($E32&amp;" isin",K$3,"EQY_FUND_YEAR="&amp;$K$2)</f>
        <v>#NAME?</v>
      </c>
    </row>
    <row r="33" spans="3:11" ht="14">
      <c r="C33" s="1" t="s">
        <v>78</v>
      </c>
      <c r="D33" s="1" t="s">
        <v>76</v>
      </c>
      <c r="E33" s="1" t="s">
        <v>79</v>
      </c>
      <c r="F33" t="e" cm="1">
        <f t="array" aca="1" ref="F33" ca="1">IF(_xll.BDP($E33&amp;" isin",F$3)="#N/A N/A", _xll.BDP($E33&amp;" isin",F$2,"EQY_FUND_YEAR="&amp;$C$2), _xll.BDP($E33&amp;" isin",F$3,"EQY_FUND_YEAR="&amp;$C$2))</f>
        <v>#NAME?</v>
      </c>
      <c r="G33" t="e" cm="1">
        <f t="array" aca="1" ref="G33" ca="1">_xll.BDP($E33&amp;" isin",G$3,"EQY_FUND_YEAR="&amp;$C$2)</f>
        <v>#NAME?</v>
      </c>
      <c r="H33" t="e" cm="1">
        <f t="array" aca="1" ref="H33" ca="1">_xll.BDP($E33&amp;" isin",H$3,"EQY_FUND_CRNCY="&amp;$C$1, "EQY_FUND_YEAR="&amp;$C$2)</f>
        <v>#NAME?</v>
      </c>
      <c r="I33" t="e" cm="1">
        <f t="array" aca="1" ref="I33" ca="1">_xll.BDP($E33&amp;" isin",I$3,"EQY_FUND_YEAR="&amp;$C$2)</f>
        <v>#NAME?</v>
      </c>
      <c r="J33" t="e" cm="1">
        <f t="array" aca="1" ref="J33" ca="1">IF(_xll.BDP($E33&amp;" isin",J$3)="#N/A N/A", _xll.BDP($E33&amp;" isin",J$2,"EQY_FUND_YEAR="&amp;$C$2), _xll.BDP($E33&amp;" isin",J$3,"EQY_FUND_YEAR="&amp;$C$2))</f>
        <v>#NAME?</v>
      </c>
      <c r="K33" t="e" cm="1">
        <f t="array" aca="1" ref="K33" ca="1">_xll.BDP($E33&amp;" isin",K$3,"EQY_FUND_YEAR="&amp;$K$2)</f>
        <v>#NAME?</v>
      </c>
    </row>
    <row r="34" spans="3:11" ht="14">
      <c r="C34" s="1" t="s">
        <v>80</v>
      </c>
      <c r="D34" s="1" t="s">
        <v>81</v>
      </c>
      <c r="E34" s="1" t="s">
        <v>82</v>
      </c>
      <c r="F34" t="e" cm="1">
        <f t="array" aca="1" ref="F34" ca="1">IF(_xll.BDP($E34&amp;" isin",F$3)="#N/A N/A", _xll.BDP($E34&amp;" isin",F$2,"EQY_FUND_YEAR="&amp;$C$2), _xll.BDP($E34&amp;" isin",F$3,"EQY_FUND_YEAR="&amp;$C$2))</f>
        <v>#NAME?</v>
      </c>
      <c r="G34" t="e" cm="1">
        <f t="array" aca="1" ref="G34" ca="1">_xll.BDP($E34&amp;" isin",G$3,"EQY_FUND_YEAR="&amp;$C$2)</f>
        <v>#NAME?</v>
      </c>
      <c r="H34" t="e" cm="1">
        <f t="array" aca="1" ref="H34" ca="1">_xll.BDP($E34&amp;" isin",H$3,"EQY_FUND_CRNCY="&amp;$C$1, "EQY_FUND_YEAR="&amp;$C$2)</f>
        <v>#NAME?</v>
      </c>
      <c r="I34" t="e" cm="1">
        <f t="array" aca="1" ref="I34" ca="1">_xll.BDP($E34&amp;" isin",I$3,"EQY_FUND_YEAR="&amp;$C$2)</f>
        <v>#NAME?</v>
      </c>
      <c r="J34" t="e" cm="1">
        <f t="array" aca="1" ref="J34" ca="1">IF(_xll.BDP($E34&amp;" isin",J$3)="#N/A N/A", _xll.BDP($E34&amp;" isin",J$2,"EQY_FUND_YEAR="&amp;$C$2), _xll.BDP($E34&amp;" isin",J$3,"EQY_FUND_YEAR="&amp;$C$2))</f>
        <v>#NAME?</v>
      </c>
      <c r="K34" t="e" cm="1">
        <f t="array" aca="1" ref="K34" ca="1">_xll.BDP($E34&amp;" isin",K$3,"EQY_FUND_YEAR="&amp;$K$2)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Sans formule</vt:lpstr>
      <vt:lpstr>Sheet1</vt:lpstr>
      <vt:lpstr>avec formules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Pinel, Alex - MAM-GVA</dc:creator>
  <cp:lastModifiedBy>Alex Pinel</cp:lastModifiedBy>
  <dcterms:created xsi:type="dcterms:W3CDTF">2026-02-06T17:12:35Z</dcterms:created>
  <dcterms:modified xsi:type="dcterms:W3CDTF">2026-02-16T12:27:28Z</dcterms:modified>
</cp:coreProperties>
</file>